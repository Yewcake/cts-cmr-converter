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CMR" sheetId="1" state="visible" r:id="rId1"/>
    <sheet xmlns:r="http://schemas.openxmlformats.org/officeDocument/2006/relationships" name="Colli" sheetId="2" state="visible" r:id="rId2"/>
    <sheet xmlns:r="http://schemas.openxmlformats.org/officeDocument/2006/relationships" name="Country Codes" sheetId="3" state="visible" r:id="rId3"/>
    <sheet xmlns:r="http://schemas.openxmlformats.org/officeDocument/2006/relationships" name="Months" sheetId="4" state="visible" r:id="rId4"/>
    <sheet xmlns:r="http://schemas.openxmlformats.org/officeDocument/2006/relationships" name="CTS ME" sheetId="5" state="visible" r:id="rId5"/>
    <sheet xmlns:r="http://schemas.openxmlformats.org/officeDocument/2006/relationships" name="Blad1" sheetId="6" state="veryHidden" r:id="rId6"/>
    <sheet xmlns:r="http://schemas.openxmlformats.org/officeDocument/2006/relationships" name="Blad2" sheetId="7" state="veryHidden" r:id="rId7"/>
    <sheet xmlns:r="http://schemas.openxmlformats.org/officeDocument/2006/relationships" name="Blad3" sheetId="8" state="veryHidden" r:id="rId8"/>
    <sheet xmlns:r="http://schemas.openxmlformats.org/officeDocument/2006/relationships" name="Blad4" sheetId="9" state="veryHidden" r:id="rId9"/>
    <sheet xmlns:r="http://schemas.openxmlformats.org/officeDocument/2006/relationships" name="Blad5" sheetId="10" state="veryHidden" r:id="rId10"/>
    <sheet xmlns:r="http://schemas.openxmlformats.org/officeDocument/2006/relationships" name="Blad6" sheetId="11" state="veryHidden" r:id="rId11"/>
  </sheets>
  <definedNames>
    <definedName name="_xlnm.Print_Area" localSheetId="0">'CMR'!$B$13:$I$79</definedName>
    <definedName name="_xlnm.Print_Area" localSheetId="1">'Colli'!$B$1:$L$67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theme="10"/>
      <sz val="10"/>
      <u val="single"/>
    </font>
    <font>
      <name val="Arial"/>
      <family val="2"/>
      <sz val="10"/>
      <vertAlign val="superscript"/>
    </font>
    <font>
      <name val="Arial"/>
      <family val="2"/>
      <color theme="0" tint="-0.1499984740745262"/>
      <sz val="10"/>
    </font>
    <font>
      <name val="Arial"/>
      <family val="2"/>
      <color theme="1"/>
      <sz val="10"/>
      <u val="single"/>
    </font>
    <font>
      <name val="Arial"/>
      <family val="2"/>
      <sz val="10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9"/>
    </font>
  </fonts>
  <fills count="4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3">
    <xf numFmtId="0" fontId="0" fillId="0" borderId="0"/>
    <xf numFmtId="0" fontId="4" fillId="0" borderId="0"/>
    <xf numFmtId="0" fontId="8" fillId="3" borderId="1"/>
  </cellStyleXfs>
  <cellXfs count="47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0" fontId="3" fillId="2" borderId="0" applyAlignment="1" pivotButton="0" quotePrefix="0" xfId="0">
      <alignment vertical="center"/>
    </xf>
    <xf numFmtId="0" fontId="7" fillId="2" borderId="0" applyAlignment="1" pivotButton="0" quotePrefix="0" xfId="1">
      <alignment vertical="center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left" vertical="center"/>
    </xf>
    <xf numFmtId="14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top" wrapText="1"/>
    </xf>
    <xf numFmtId="2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vertical="center"/>
    </xf>
    <xf numFmtId="0" fontId="0" fillId="0" borderId="0" pivotButton="0" quotePrefix="1" xfId="0"/>
    <xf numFmtId="0" fontId="1" fillId="0" borderId="0" pivotButton="0" quotePrefix="1" xfId="0"/>
    <xf numFmtId="0" fontId="3" fillId="0" borderId="0" applyAlignment="1" pivotButton="0" quotePrefix="1" xfId="0">
      <alignment horizontal="left" vertical="center"/>
    </xf>
    <xf numFmtId="16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1" xfId="0">
      <alignment vertical="top"/>
    </xf>
    <xf numFmtId="0" fontId="3" fillId="2" borderId="0" applyAlignment="1" pivotButton="0" quotePrefix="1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 wrapText="1"/>
    </xf>
    <xf numFmtId="0" fontId="1" fillId="3" borderId="2" applyAlignment="1" pivotButton="0" quotePrefix="0" xfId="2">
      <alignment horizontal="center"/>
    </xf>
    <xf numFmtId="0" fontId="0" fillId="3" borderId="3" applyAlignment="1" pivotButton="0" quotePrefix="0" xfId="2">
      <alignment horizontal="center"/>
    </xf>
    <xf numFmtId="0" fontId="0" fillId="3" borderId="4" applyAlignment="1" pivotButton="0" quotePrefix="0" xfId="2">
      <alignment horizontal="center"/>
    </xf>
    <xf numFmtId="0" fontId="1" fillId="3" borderId="1" applyAlignment="1" pivotButton="0" quotePrefix="0" xfId="2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Standaard" xfId="0" builtinId="0"/>
    <cellStyle name="Hyperlink" xfId="1" builtinId="8"/>
    <cellStyle name="Notitie" xfId="2" builtinId="1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1</col>
      <colOff>219075</colOff>
      <row>3</row>
      <rowOff>142875</rowOff>
    </to>
    <pic>
      <nvPicPr>
        <cNvPr id="2" name="Afbeelding 1" descr="Afghanistan">
          <a:hlinkClick xmlns:a="http://schemas.openxmlformats.org/drawingml/2006/main" xmlns:r="http://schemas.openxmlformats.org/officeDocument/2006/relationships" tooltip="Afghanistan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857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</row>
      <rowOff>0</rowOff>
    </from>
    <to>
      <col>1</col>
      <colOff>219075</colOff>
      <row>4</row>
      <rowOff>114300</rowOff>
    </to>
    <pic>
      <nvPicPr>
        <cNvPr id="3" name="Afbeelding 2" descr="Akrotiri and Dhekelia">
          <a:hlinkClick xmlns:a="http://schemas.openxmlformats.org/drawingml/2006/main" xmlns:r="http://schemas.openxmlformats.org/officeDocument/2006/relationships" tooltip="Akrotiri and Dhekelia" r:id="rId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573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</row>
      <rowOff>0</rowOff>
    </from>
    <to>
      <col>1</col>
      <colOff>219075</colOff>
      <row>5</row>
      <rowOff>142875</rowOff>
    </to>
    <pic>
      <nvPicPr>
        <cNvPr id="4" name="Afbeelding 3" descr="Åland Islands">
          <a:hlinkClick xmlns:a="http://schemas.openxmlformats.org/drawingml/2006/main" xmlns:r="http://schemas.openxmlformats.org/officeDocument/2006/relationships" tooltip="Åland Islands" r:id="rId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192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</row>
      <rowOff>0</rowOff>
    </from>
    <to>
      <col>1</col>
      <colOff>200025</colOff>
      <row>6</row>
      <rowOff>142875</rowOff>
    </to>
    <pic>
      <nvPicPr>
        <cNvPr id="5" name="Afbeelding 4" descr="Albania">
          <a:hlinkClick xmlns:a="http://schemas.openxmlformats.org/drawingml/2006/main" xmlns:r="http://schemas.openxmlformats.org/officeDocument/2006/relationships" tooltip="Albania" r:id="rId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94310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</row>
      <rowOff>0</rowOff>
    </from>
    <to>
      <col>1</col>
      <colOff>219075</colOff>
      <row>7</row>
      <rowOff>142875</rowOff>
    </to>
    <pic>
      <nvPicPr>
        <cNvPr id="6" name="Afbeelding 5" descr="Algeria">
          <a:hlinkClick xmlns:a="http://schemas.openxmlformats.org/drawingml/2006/main" xmlns:r="http://schemas.openxmlformats.org/officeDocument/2006/relationships" tooltip="Algeria" r:id="rId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4288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</row>
      <rowOff>0</rowOff>
    </from>
    <to>
      <col>1</col>
      <colOff>219075</colOff>
      <row>8</row>
      <rowOff>114300</rowOff>
    </to>
    <pic>
      <nvPicPr>
        <cNvPr id="7" name="Afbeelding 6" descr="American Samoa">
          <a:hlinkClick xmlns:a="http://schemas.openxmlformats.org/drawingml/2006/main" xmlns:r="http://schemas.openxmlformats.org/officeDocument/2006/relationships" tooltip="American Samoa" r:id="rId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4004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</row>
      <rowOff>0</rowOff>
    </from>
    <to>
      <col>1</col>
      <colOff>209550</colOff>
      <row>9</row>
      <rowOff>142875</rowOff>
    </to>
    <pic>
      <nvPicPr>
        <cNvPr id="8" name="Afbeelding 7" descr="Andorra">
          <a:hlinkClick xmlns:a="http://schemas.openxmlformats.org/drawingml/2006/main" xmlns:r="http://schemas.openxmlformats.org/officeDocument/2006/relationships" tooltip="Andorra" r:id="rId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210050"/>
          <a:ext cx="20955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</row>
      <rowOff>0</rowOff>
    </from>
    <to>
      <col>1</col>
      <colOff>219075</colOff>
      <row>10</row>
      <rowOff>142875</rowOff>
    </to>
    <pic>
      <nvPicPr>
        <cNvPr id="9" name="Afbeelding 8" descr="Angola">
          <a:hlinkClick xmlns:a="http://schemas.openxmlformats.org/drawingml/2006/main" xmlns:r="http://schemas.openxmlformats.org/officeDocument/2006/relationships" tooltip="Angola" r:id="rId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8577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</row>
      <rowOff>0</rowOff>
    </from>
    <to>
      <col>1</col>
      <colOff>219075</colOff>
      <row>11</row>
      <rowOff>114300</rowOff>
    </to>
    <pic>
      <nvPicPr>
        <cNvPr id="10" name="Afbeelding 9" descr="Anguilla">
          <a:hlinkClick xmlns:a="http://schemas.openxmlformats.org/drawingml/2006/main" xmlns:r="http://schemas.openxmlformats.org/officeDocument/2006/relationships" tooltip="Anguilla" r:id="rId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3435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</row>
      <rowOff>0</rowOff>
    </from>
    <to>
      <col>1</col>
      <colOff>219075</colOff>
      <row>12</row>
      <rowOff>142875</rowOff>
    </to>
    <pic>
      <nvPicPr>
        <cNvPr id="11" name="Afbeelding 10" descr="Antarctica">
          <a:hlinkClick xmlns:a="http://schemas.openxmlformats.org/drawingml/2006/main" xmlns:r="http://schemas.openxmlformats.org/officeDocument/2006/relationships" tooltip="Antarctica" r:id="rId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667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</row>
      <rowOff>0</rowOff>
    </from>
    <to>
      <col>1</col>
      <colOff>219075</colOff>
      <row>13</row>
      <rowOff>142875</rowOff>
    </to>
    <pic>
      <nvPicPr>
        <cNvPr id="12" name="Afbeelding 11" descr="Antigua and Barbuda">
          <a:hlinkClick xmlns:a="http://schemas.openxmlformats.org/drawingml/2006/main" xmlns:r="http://schemas.openxmlformats.org/officeDocument/2006/relationships" tooltip="Antigua and Barbuda" r:id="rId2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8008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</row>
      <rowOff>0</rowOff>
    </from>
    <to>
      <col>1</col>
      <colOff>219075</colOff>
      <row>14</row>
      <rowOff>133350</rowOff>
    </to>
    <pic>
      <nvPicPr>
        <cNvPr id="13" name="Afbeelding 12" descr="Argentina">
          <a:hlinkClick xmlns:a="http://schemas.openxmlformats.org/drawingml/2006/main" xmlns:r="http://schemas.openxmlformats.org/officeDocument/2006/relationships" tooltip="Argentina" r:id="rId2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28662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</row>
      <rowOff>0</rowOff>
    </from>
    <to>
      <col>1</col>
      <colOff>219075</colOff>
      <row>15</row>
      <rowOff>114300</rowOff>
    </to>
    <pic>
      <nvPicPr>
        <cNvPr id="14" name="Afbeelding 13" descr="Armenia">
          <a:hlinkClick xmlns:a="http://schemas.openxmlformats.org/drawingml/2006/main" xmlns:r="http://schemas.openxmlformats.org/officeDocument/2006/relationships" tooltip="Armenia" r:id="rId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7724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</row>
      <rowOff>0</rowOff>
    </from>
    <to>
      <col>1</col>
      <colOff>219075</colOff>
      <row>16</row>
      <rowOff>142875</rowOff>
    </to>
    <pic>
      <nvPicPr>
        <cNvPr id="15" name="Afbeelding 14" descr="Aruba">
          <a:hlinkClick xmlns:a="http://schemas.openxmlformats.org/drawingml/2006/main" xmlns:r="http://schemas.openxmlformats.org/officeDocument/2006/relationships" tooltip="Aruba" r:id="rId2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420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</row>
      <rowOff>0</rowOff>
    </from>
    <to>
      <col>1</col>
      <colOff>219075</colOff>
      <row>17</row>
      <rowOff>114300</rowOff>
    </to>
    <pic>
      <nvPicPr>
        <cNvPr id="16" name="Afbeelding 15" descr="Australia">
          <a:hlinkClick xmlns:a="http://schemas.openxmlformats.org/drawingml/2006/main" xmlns:r="http://schemas.openxmlformats.org/officeDocument/2006/relationships" tooltip="Australia" r:id="rId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7439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</row>
      <rowOff>0</rowOff>
    </from>
    <to>
      <col>1</col>
      <colOff>219075</colOff>
      <row>17</row>
      <rowOff>114300</rowOff>
    </to>
    <pic>
      <nvPicPr>
        <cNvPr id="17" name="Afbeelding 16" descr="Australia">
          <a:hlinkClick xmlns:a="http://schemas.openxmlformats.org/drawingml/2006/main" xmlns:r="http://schemas.openxmlformats.org/officeDocument/2006/relationships" tooltip="Australia" r:id="rId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9058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</row>
      <rowOff>0</rowOff>
    </from>
    <to>
      <col>1</col>
      <colOff>219075</colOff>
      <row>18</row>
      <rowOff>142875</rowOff>
    </to>
    <pic>
      <nvPicPr>
        <cNvPr id="18" name="Afbeelding 17" descr="Austria">
          <a:hlinkClick xmlns:a="http://schemas.openxmlformats.org/drawingml/2006/main" xmlns:r="http://schemas.openxmlformats.org/officeDocument/2006/relationships" tooltip="Austria" r:id="rId3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553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</row>
      <rowOff>0</rowOff>
    </from>
    <to>
      <col>1</col>
      <colOff>219075</colOff>
      <row>19</row>
      <rowOff>114300</rowOff>
    </to>
    <pic>
      <nvPicPr>
        <cNvPr id="19" name="Afbeelding 18" descr="Azerbaijan">
          <a:hlinkClick xmlns:a="http://schemas.openxmlformats.org/drawingml/2006/main" xmlns:r="http://schemas.openxmlformats.org/officeDocument/2006/relationships" tooltip="Azerbaijan" r:id="rId3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0393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</row>
      <rowOff>0</rowOff>
    </from>
    <to>
      <col>1</col>
      <colOff>219075</colOff>
      <row>20</row>
      <rowOff>114300</rowOff>
    </to>
    <pic>
      <nvPicPr>
        <cNvPr id="20" name="Afbeelding 19" descr="The Bahamas">
          <a:hlinkClick xmlns:a="http://schemas.openxmlformats.org/drawingml/2006/main" xmlns:r="http://schemas.openxmlformats.org/officeDocument/2006/relationships" tooltip="The Bahamas" r:id="rId3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8489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</row>
      <rowOff>0</rowOff>
    </from>
    <to>
      <col>1</col>
      <colOff>219075</colOff>
      <row>21</row>
      <rowOff>133350</rowOff>
    </to>
    <pic>
      <nvPicPr>
        <cNvPr id="21" name="Afbeelding 20" descr="Bahrain">
          <a:hlinkClick xmlns:a="http://schemas.openxmlformats.org/drawingml/2006/main" xmlns:r="http://schemas.openxmlformats.org/officeDocument/2006/relationships" tooltip="Bahrain" r:id="rId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6586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</row>
      <rowOff>0</rowOff>
    </from>
    <to>
      <col>1</col>
      <colOff>219075</colOff>
      <row>22</row>
      <rowOff>133350</rowOff>
    </to>
    <pic>
      <nvPicPr>
        <cNvPr id="22" name="Afbeelding 21" descr="Bangladesh">
          <a:hlinkClick xmlns:a="http://schemas.openxmlformats.org/drawingml/2006/main" xmlns:r="http://schemas.openxmlformats.org/officeDocument/2006/relationships" tooltip="Bangladesh" r:id="rId3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3063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</row>
      <rowOff>0</rowOff>
    </from>
    <to>
      <col>1</col>
      <colOff>219075</colOff>
      <row>23</row>
      <rowOff>142875</rowOff>
    </to>
    <pic>
      <nvPicPr>
        <cNvPr id="23" name="Afbeelding 22" descr="Barbados">
          <a:hlinkClick xmlns:a="http://schemas.openxmlformats.org/drawingml/2006/main" xmlns:r="http://schemas.openxmlformats.org/officeDocument/2006/relationships" tooltip="Barbados" r:id="rId4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2778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</row>
      <rowOff>0</rowOff>
    </from>
    <to>
      <col>1</col>
      <colOff>219075</colOff>
      <row>24</row>
      <rowOff>114300</rowOff>
    </to>
    <pic>
      <nvPicPr>
        <cNvPr id="24" name="Afbeelding 23" descr="Belarus">
          <a:hlinkClick xmlns:a="http://schemas.openxmlformats.org/drawingml/2006/main" xmlns:r="http://schemas.openxmlformats.org/officeDocument/2006/relationships" tooltip="Belarus" r:id="rId4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763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</row>
      <rowOff>0</rowOff>
    </from>
    <to>
      <col>1</col>
      <colOff>219075</colOff>
      <row>25</row>
      <rowOff>142875</rowOff>
    </to>
    <pic>
      <nvPicPr>
        <cNvPr id="25" name="Afbeelding 24" descr="Belgium">
          <a:hlinkClick xmlns:a="http://schemas.openxmlformats.org/drawingml/2006/main" xmlns:r="http://schemas.openxmlformats.org/officeDocument/2006/relationships" tooltip="Belgium" r:id="rId4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411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</row>
      <rowOff>0</rowOff>
    </from>
    <to>
      <col>1</col>
      <colOff>219075</colOff>
      <row>26</row>
      <rowOff>142875</rowOff>
    </to>
    <pic>
      <nvPicPr>
        <cNvPr id="26" name="Afbeelding 25" descr="Belize">
          <a:hlinkClick xmlns:a="http://schemas.openxmlformats.org/drawingml/2006/main" xmlns:r="http://schemas.openxmlformats.org/officeDocument/2006/relationships" tooltip="Belize" r:id="rId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059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</row>
      <rowOff>0</rowOff>
    </from>
    <to>
      <col>1</col>
      <colOff>219075</colOff>
      <row>27</row>
      <rowOff>142875</rowOff>
    </to>
    <pic>
      <nvPicPr>
        <cNvPr id="27" name="Afbeelding 26" descr="Benin">
          <a:hlinkClick xmlns:a="http://schemas.openxmlformats.org/drawingml/2006/main" xmlns:r="http://schemas.openxmlformats.org/officeDocument/2006/relationships" tooltip="Benin" r:id="rId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5448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</row>
      <rowOff>0</rowOff>
    </from>
    <to>
      <col>1</col>
      <colOff>219075</colOff>
      <row>28</row>
      <rowOff>114300</rowOff>
    </to>
    <pic>
      <nvPicPr>
        <cNvPr id="28" name="Afbeelding 27" descr="Bermuda">
          <a:hlinkClick xmlns:a="http://schemas.openxmlformats.org/drawingml/2006/main" xmlns:r="http://schemas.openxmlformats.org/officeDocument/2006/relationships" tooltip="Bermuda" r:id="rId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030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29</row>
      <rowOff>0</rowOff>
    </from>
    <to>
      <col>1</col>
      <colOff>219075</colOff>
      <row>29</row>
      <rowOff>142875</rowOff>
    </to>
    <pic>
      <nvPicPr>
        <cNvPr id="29" name="Afbeelding 28" descr="Bhutan">
          <a:hlinkClick xmlns:a="http://schemas.openxmlformats.org/drawingml/2006/main" xmlns:r="http://schemas.openxmlformats.org/officeDocument/2006/relationships" tooltip="Bhutan" r:id="rId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354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30</row>
      <rowOff>0</rowOff>
    </from>
    <to>
      <col>1</col>
      <colOff>209550</colOff>
      <row>30</row>
      <rowOff>142875</rowOff>
    </to>
    <pic>
      <nvPicPr>
        <cNvPr id="30" name="Afbeelding 29" descr="Bolivia">
          <a:hlinkClick xmlns:a="http://schemas.openxmlformats.org/drawingml/2006/main" xmlns:r="http://schemas.openxmlformats.org/officeDocument/2006/relationships" tooltip="Bolivia" r:id="rId5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840200"/>
          <a:ext cx="20955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31</row>
      <rowOff>0</rowOff>
    </from>
    <to>
      <col>1</col>
      <colOff>219075</colOff>
      <row>31</row>
      <rowOff>142875</rowOff>
    </to>
    <pic>
      <nvPicPr>
        <cNvPr id="31" name="Afbeelding 30" descr="Bonaire">
          <a:hlinkClick xmlns:a="http://schemas.openxmlformats.org/drawingml/2006/main" xmlns:r="http://schemas.openxmlformats.org/officeDocument/2006/relationships" tooltip="Bonaire" r:id="rId5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74879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32</row>
      <rowOff>0</rowOff>
    </from>
    <to>
      <col>1</col>
      <colOff>219075</colOff>
      <row>32</row>
      <rowOff>142875</rowOff>
    </to>
    <pic>
      <nvPicPr>
        <cNvPr id="32" name="Afbeelding 31" descr="Sint Eustatius">
          <a:hlinkClick xmlns:a="http://schemas.openxmlformats.org/drawingml/2006/main" xmlns:r="http://schemas.openxmlformats.org/officeDocument/2006/relationships" tooltip="Sint Eustatius" r:id="rId5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76498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33</row>
      <rowOff>0</rowOff>
    </from>
    <to>
      <col>1</col>
      <colOff>219075</colOff>
      <row>33</row>
      <rowOff>142875</rowOff>
    </to>
    <pic>
      <nvPicPr>
        <cNvPr id="33" name="Afbeelding 32" descr="Saba">
          <a:hlinkClick xmlns:a="http://schemas.openxmlformats.org/drawingml/2006/main" xmlns:r="http://schemas.openxmlformats.org/officeDocument/2006/relationships" tooltip="Saba" r:id="rId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79736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34</row>
      <rowOff>0</rowOff>
    </from>
    <to>
      <col>1</col>
      <colOff>219075</colOff>
      <row>34</row>
      <rowOff>114300</rowOff>
    </to>
    <pic>
      <nvPicPr>
        <cNvPr id="34" name="Afbeelding 33" descr="Bosnia and Herzegovina">
          <a:hlinkClick xmlns:a="http://schemas.openxmlformats.org/drawingml/2006/main" xmlns:r="http://schemas.openxmlformats.org/officeDocument/2006/relationships" tooltip="Bosnia and Herzegovina" r:id="rId6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8135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35</row>
      <rowOff>0</rowOff>
    </from>
    <to>
      <col>1</col>
      <colOff>219075</colOff>
      <row>35</row>
      <rowOff>142875</rowOff>
    </to>
    <pic>
      <nvPicPr>
        <cNvPr id="35" name="Afbeelding 34" descr="Botswana">
          <a:hlinkClick xmlns:a="http://schemas.openxmlformats.org/drawingml/2006/main" xmlns:r="http://schemas.openxmlformats.org/officeDocument/2006/relationships" tooltip="Botswana" r:id="rId6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8783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36</row>
      <rowOff>0</rowOff>
    </from>
    <to>
      <col>1</col>
      <colOff>200025</colOff>
      <row>36</row>
      <rowOff>142875</rowOff>
    </to>
    <pic>
      <nvPicPr>
        <cNvPr id="36" name="Afbeelding 35" descr="Bouvet Island">
          <a:hlinkClick xmlns:a="http://schemas.openxmlformats.org/drawingml/2006/main" xmlns:r="http://schemas.openxmlformats.org/officeDocument/2006/relationships" tooltip="Bouvet Island" r:id="rId6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943100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37</row>
      <rowOff>0</rowOff>
    </from>
    <to>
      <col>1</col>
      <colOff>209550</colOff>
      <row>37</row>
      <rowOff>142875</rowOff>
    </to>
    <pic>
      <nvPicPr>
        <cNvPr id="37" name="Afbeelding 36" descr="Brazil">
          <a:hlinkClick xmlns:a="http://schemas.openxmlformats.org/drawingml/2006/main" xmlns:r="http://schemas.openxmlformats.org/officeDocument/2006/relationships" tooltip="Brazil" r:id="rId6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9754850"/>
          <a:ext cx="20955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38</row>
      <rowOff>0</rowOff>
    </from>
    <to>
      <col>1</col>
      <colOff>219075</colOff>
      <row>38</row>
      <rowOff>114300</rowOff>
    </to>
    <pic>
      <nvPicPr>
        <cNvPr id="38" name="Afbeelding 37" descr="British Indian Ocean Territory">
          <a:hlinkClick xmlns:a="http://schemas.openxmlformats.org/drawingml/2006/main" xmlns:r="http://schemas.openxmlformats.org/officeDocument/2006/relationships" tooltip="British Indian Ocean Territory" r:id="rId7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05644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39</row>
      <rowOff>0</rowOff>
    </from>
    <to>
      <col>1</col>
      <colOff>219075</colOff>
      <row>39</row>
      <rowOff>114300</rowOff>
    </to>
    <pic>
      <nvPicPr>
        <cNvPr id="39" name="Afbeelding 38" descr="British Virgin Islands">
          <a:hlinkClick xmlns:a="http://schemas.openxmlformats.org/drawingml/2006/main" xmlns:r="http://schemas.openxmlformats.org/officeDocument/2006/relationships" tooltip="British Virgin Islands" r:id="rId7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13741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40</row>
      <rowOff>0</rowOff>
    </from>
    <to>
      <col>1</col>
      <colOff>219075</colOff>
      <row>40</row>
      <rowOff>114300</rowOff>
    </to>
    <pic>
      <nvPicPr>
        <cNvPr id="40" name="Afbeelding 39" descr="Brunei">
          <a:hlinkClick xmlns:a="http://schemas.openxmlformats.org/drawingml/2006/main" xmlns:r="http://schemas.openxmlformats.org/officeDocument/2006/relationships" tooltip="Brunei" r:id="rId7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1536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41</row>
      <rowOff>0</rowOff>
    </from>
    <to>
      <col>1</col>
      <colOff>219075</colOff>
      <row>41</row>
      <rowOff>133350</rowOff>
    </to>
    <pic>
      <nvPicPr>
        <cNvPr id="41" name="Afbeelding 40" descr="Bulgaria">
          <a:hlinkClick xmlns:a="http://schemas.openxmlformats.org/drawingml/2006/main" xmlns:r="http://schemas.openxmlformats.org/officeDocument/2006/relationships" tooltip="Bulgaria" r:id="rId7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25075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42</row>
      <rowOff>0</rowOff>
    </from>
    <to>
      <col>1</col>
      <colOff>219075</colOff>
      <row>42</row>
      <rowOff>142875</rowOff>
    </to>
    <pic>
      <nvPicPr>
        <cNvPr id="42" name="Afbeelding 41" descr="Burkina Faso">
          <a:hlinkClick xmlns:a="http://schemas.openxmlformats.org/drawingml/2006/main" xmlns:r="http://schemas.openxmlformats.org/officeDocument/2006/relationships" tooltip="Burkina Faso" r:id="rId7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31552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43</row>
      <rowOff>0</rowOff>
    </from>
    <to>
      <col>1</col>
      <colOff>219075</colOff>
      <row>43</row>
      <rowOff>142875</rowOff>
    </to>
    <pic>
      <nvPicPr>
        <cNvPr id="43" name="Afbeelding 42" descr="Myanmar">
          <a:hlinkClick xmlns:a="http://schemas.openxmlformats.org/drawingml/2006/main" xmlns:r="http://schemas.openxmlformats.org/officeDocument/2006/relationships" tooltip="Myanmar" r:id="rId8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36410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44</row>
      <rowOff>0</rowOff>
    </from>
    <to>
      <col>1</col>
      <colOff>219075</colOff>
      <row>44</row>
      <rowOff>133350</rowOff>
    </to>
    <pic>
      <nvPicPr>
        <cNvPr id="44" name="Afbeelding 43" descr="Burundi">
          <a:hlinkClick xmlns:a="http://schemas.openxmlformats.org/drawingml/2006/main" xmlns:r="http://schemas.openxmlformats.org/officeDocument/2006/relationships" tooltip="Burundi" r:id="rId8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38029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45</row>
      <rowOff>0</rowOff>
    </from>
    <to>
      <col>1</col>
      <colOff>219075</colOff>
      <row>45</row>
      <rowOff>133350</rowOff>
    </to>
    <pic>
      <nvPicPr>
        <cNvPr id="45" name="Afbeelding 44" descr="Cape Verde">
          <a:hlinkClick xmlns:a="http://schemas.openxmlformats.org/drawingml/2006/main" xmlns:r="http://schemas.openxmlformats.org/officeDocument/2006/relationships" tooltip="Cape Verde" r:id="rId8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44506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46</row>
      <rowOff>0</rowOff>
    </from>
    <to>
      <col>1</col>
      <colOff>219075</colOff>
      <row>46</row>
      <rowOff>142875</rowOff>
    </to>
    <pic>
      <nvPicPr>
        <cNvPr id="46" name="Afbeelding 45" descr="Cambodia">
          <a:hlinkClick xmlns:a="http://schemas.openxmlformats.org/drawingml/2006/main" xmlns:r="http://schemas.openxmlformats.org/officeDocument/2006/relationships" tooltip="Cambodia" r:id="rId8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5098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47</row>
      <rowOff>0</rowOff>
    </from>
    <to>
      <col>1</col>
      <colOff>219075</colOff>
      <row>47</row>
      <rowOff>142875</rowOff>
    </to>
    <pic>
      <nvPicPr>
        <cNvPr id="47" name="Afbeelding 46" descr="Cameroon">
          <a:hlinkClick xmlns:a="http://schemas.openxmlformats.org/drawingml/2006/main" xmlns:r="http://schemas.openxmlformats.org/officeDocument/2006/relationships" tooltip="Cameroon" r:id="rId8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59080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48</row>
      <rowOff>0</rowOff>
    </from>
    <to>
      <col>1</col>
      <colOff>219075</colOff>
      <row>48</row>
      <rowOff>114300</rowOff>
    </to>
    <pic>
      <nvPicPr>
        <cNvPr id="48" name="Afbeelding 47" descr="Canada">
          <a:hlinkClick xmlns:a="http://schemas.openxmlformats.org/drawingml/2006/main" xmlns:r="http://schemas.openxmlformats.org/officeDocument/2006/relationships" tooltip="Canada" r:id="rId9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6717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49</row>
      <rowOff>0</rowOff>
    </from>
    <to>
      <col>1</col>
      <colOff>219075</colOff>
      <row>49</row>
      <rowOff>133350</rowOff>
    </to>
    <pic>
      <nvPicPr>
        <cNvPr id="49" name="Afbeelding 48" descr="Cape Verde">
          <a:hlinkClick xmlns:a="http://schemas.openxmlformats.org/drawingml/2006/main" xmlns:r="http://schemas.openxmlformats.org/officeDocument/2006/relationships" tooltip="Cape Verde" r:id="rId8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72034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50</row>
      <rowOff>0</rowOff>
    </from>
    <to>
      <col>1</col>
      <colOff>219075</colOff>
      <row>50</row>
      <rowOff>142875</rowOff>
    </to>
    <pic>
      <nvPicPr>
        <cNvPr id="50" name="Afbeelding 49" descr="Netherlands">
          <a:hlinkClick xmlns:a="http://schemas.openxmlformats.org/drawingml/2006/main" xmlns:r="http://schemas.openxmlformats.org/officeDocument/2006/relationships" tooltip="Netherlands" r:id="rId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7365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51</row>
      <rowOff>0</rowOff>
    </from>
    <to>
      <col>1</col>
      <colOff>219075</colOff>
      <row>51</row>
      <rowOff>114300</rowOff>
    </to>
    <pic>
      <nvPicPr>
        <cNvPr id="51" name="Afbeelding 50" descr="Cayman Islands">
          <a:hlinkClick xmlns:a="http://schemas.openxmlformats.org/drawingml/2006/main" xmlns:r="http://schemas.openxmlformats.org/officeDocument/2006/relationships" tooltip="Cayman Islands" r:id="rId9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75272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52</row>
      <rowOff>0</rowOff>
    </from>
    <to>
      <col>1</col>
      <colOff>219075</colOff>
      <row>52</row>
      <rowOff>142875</rowOff>
    </to>
    <pic>
      <nvPicPr>
        <cNvPr id="52" name="Afbeelding 51" descr="Central African Republic">
          <a:hlinkClick xmlns:a="http://schemas.openxmlformats.org/drawingml/2006/main" xmlns:r="http://schemas.openxmlformats.org/officeDocument/2006/relationships" tooltip="Central African Republic" r:id="rId9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8013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53</row>
      <rowOff>0</rowOff>
    </from>
    <to>
      <col>1</col>
      <colOff>219075</colOff>
      <row>53</row>
      <rowOff>142875</rowOff>
    </to>
    <pic>
      <nvPicPr>
        <cNvPr id="53" name="Afbeelding 52" descr="Chad">
          <a:hlinkClick xmlns:a="http://schemas.openxmlformats.org/drawingml/2006/main" xmlns:r="http://schemas.openxmlformats.org/officeDocument/2006/relationships" tooltip="Chad" r:id="rId9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86607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54</row>
      <rowOff>0</rowOff>
    </from>
    <to>
      <col>1</col>
      <colOff>219075</colOff>
      <row>54</row>
      <rowOff>142875</rowOff>
    </to>
    <pic>
      <nvPicPr>
        <cNvPr id="54" name="Afbeelding 53" descr="Chile">
          <a:hlinkClick xmlns:a="http://schemas.openxmlformats.org/drawingml/2006/main" xmlns:r="http://schemas.openxmlformats.org/officeDocument/2006/relationships" tooltip="Chile" r:id="rId10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91465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55</row>
      <rowOff>0</rowOff>
    </from>
    <to>
      <col>1</col>
      <colOff>219075</colOff>
      <row>55</row>
      <rowOff>142875</rowOff>
    </to>
    <pic>
      <nvPicPr>
        <cNvPr id="55" name="Afbeelding 54" descr="China">
          <a:hlinkClick xmlns:a="http://schemas.openxmlformats.org/drawingml/2006/main" xmlns:r="http://schemas.openxmlformats.org/officeDocument/2006/relationships" tooltip="China" r:id="rId10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96322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56</row>
      <rowOff>0</rowOff>
    </from>
    <to>
      <col>1</col>
      <colOff>219075</colOff>
      <row>56</row>
      <rowOff>142875</rowOff>
    </to>
    <pic>
      <nvPicPr>
        <cNvPr id="56" name="Afbeelding 55" descr="Taiwan">
          <a:hlinkClick xmlns:a="http://schemas.openxmlformats.org/drawingml/2006/main" xmlns:r="http://schemas.openxmlformats.org/officeDocument/2006/relationships" tooltip="Taiwan" r:id="rId1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02799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57</row>
      <rowOff>0</rowOff>
    </from>
    <to>
      <col>1</col>
      <colOff>219075</colOff>
      <row>57</row>
      <rowOff>114300</rowOff>
    </to>
    <pic>
      <nvPicPr>
        <cNvPr id="57" name="Afbeelding 56" descr="Christmas Island">
          <a:hlinkClick xmlns:a="http://schemas.openxmlformats.org/drawingml/2006/main" xmlns:r="http://schemas.openxmlformats.org/officeDocument/2006/relationships" tooltip="Christmas Island" r:id="rId10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04419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58</row>
      <rowOff>0</rowOff>
    </from>
    <to>
      <col>1</col>
      <colOff>219075</colOff>
      <row>58</row>
      <rowOff>142875</rowOff>
    </to>
    <pic>
      <nvPicPr>
        <cNvPr id="58" name="Afbeelding 57" descr="France">
          <a:hlinkClick xmlns:a="http://schemas.openxmlformats.org/drawingml/2006/main" xmlns:r="http://schemas.openxmlformats.org/officeDocument/2006/relationships" tooltip="France" r:id="rId1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12515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59</row>
      <rowOff>0</rowOff>
    </from>
    <to>
      <col>1</col>
      <colOff>219075</colOff>
      <row>59</row>
      <rowOff>114300</rowOff>
    </to>
    <pic>
      <nvPicPr>
        <cNvPr id="59" name="Afbeelding 58" descr="Cocos (Keeling) Islands">
          <a:hlinkClick xmlns:a="http://schemas.openxmlformats.org/drawingml/2006/main" xmlns:r="http://schemas.openxmlformats.org/officeDocument/2006/relationships" tooltip="Cocos (Keeling) Islands" r:id="rId1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14134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60</row>
      <rowOff>0</rowOff>
    </from>
    <to>
      <col>1</col>
      <colOff>219075</colOff>
      <row>60</row>
      <rowOff>142875</rowOff>
    </to>
    <pic>
      <nvPicPr>
        <cNvPr id="60" name="Afbeelding 59" descr="Colombia">
          <a:hlinkClick xmlns:a="http://schemas.openxmlformats.org/drawingml/2006/main" xmlns:r="http://schemas.openxmlformats.org/officeDocument/2006/relationships" tooltip="Colombia" r:id="rId1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22230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61</row>
      <rowOff>0</rowOff>
    </from>
    <to>
      <col>1</col>
      <colOff>219075</colOff>
      <row>61</row>
      <rowOff>133350</rowOff>
    </to>
    <pic>
      <nvPicPr>
        <cNvPr id="61" name="Afbeelding 60" descr="Comoros">
          <a:hlinkClick xmlns:a="http://schemas.openxmlformats.org/drawingml/2006/main" xmlns:r="http://schemas.openxmlformats.org/officeDocument/2006/relationships" tooltip="Comoros" r:id="rId1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28707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62</row>
      <rowOff>0</rowOff>
    </from>
    <to>
      <col>1</col>
      <colOff>190500</colOff>
      <row>62</row>
      <rowOff>142875</rowOff>
    </to>
    <pic>
      <nvPicPr>
        <cNvPr id="62" name="Afbeelding 61" descr="Democratic Republic of the Congo">
          <a:hlinkClick xmlns:a="http://schemas.openxmlformats.org/drawingml/2006/main" xmlns:r="http://schemas.openxmlformats.org/officeDocument/2006/relationships" tooltip="Democratic Republic of the Congo" r:id="rId1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3518475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63</row>
      <rowOff>0</rowOff>
    </from>
    <to>
      <col>1</col>
      <colOff>219075</colOff>
      <row>63</row>
      <rowOff>142875</rowOff>
    </to>
    <pic>
      <nvPicPr>
        <cNvPr id="63" name="Afbeelding 62" descr="Republic of the Congo">
          <a:hlinkClick xmlns:a="http://schemas.openxmlformats.org/drawingml/2006/main" xmlns:r="http://schemas.openxmlformats.org/officeDocument/2006/relationships" tooltip="Republic of the Congo" r:id="rId1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4490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64</row>
      <rowOff>0</rowOff>
    </from>
    <to>
      <col>1</col>
      <colOff>219075</colOff>
      <row>64</row>
      <rowOff>114300</rowOff>
    </to>
    <pic>
      <nvPicPr>
        <cNvPr id="64" name="Afbeelding 63" descr="Cook Islands">
          <a:hlinkClick xmlns:a="http://schemas.openxmlformats.org/drawingml/2006/main" xmlns:r="http://schemas.openxmlformats.org/officeDocument/2006/relationships" tooltip="Cook Islands" r:id="rId12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51377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65</row>
      <rowOff>0</rowOff>
    </from>
    <to>
      <col>1</col>
      <colOff>219075</colOff>
      <row>65</row>
      <rowOff>114300</rowOff>
    </to>
    <pic>
      <nvPicPr>
        <cNvPr id="65" name="Afbeelding 64" descr="Australia">
          <a:hlinkClick xmlns:a="http://schemas.openxmlformats.org/drawingml/2006/main" xmlns:r="http://schemas.openxmlformats.org/officeDocument/2006/relationships" tooltip="Australia" r:id="rId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56235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66</row>
      <rowOff>0</rowOff>
    </from>
    <to>
      <col>1</col>
      <colOff>219075</colOff>
      <row>66</row>
      <rowOff>133350</rowOff>
    </to>
    <pic>
      <nvPicPr>
        <cNvPr id="66" name="Afbeelding 65" descr="Costa Rica">
          <a:hlinkClick xmlns:a="http://schemas.openxmlformats.org/drawingml/2006/main" xmlns:r="http://schemas.openxmlformats.org/officeDocument/2006/relationships" tooltip="Costa Rica" r:id="rId12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578542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67</row>
      <rowOff>0</rowOff>
    </from>
    <to>
      <col>1</col>
      <colOff>219075</colOff>
      <row>67</row>
      <rowOff>142875</rowOff>
    </to>
    <pic>
      <nvPicPr>
        <cNvPr id="67" name="Afbeelding 66" descr="Ivory Coast">
          <a:hlinkClick xmlns:a="http://schemas.openxmlformats.org/drawingml/2006/main" xmlns:r="http://schemas.openxmlformats.org/officeDocument/2006/relationships" tooltip="Ivory Coast" r:id="rId1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64331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68</row>
      <rowOff>0</rowOff>
    </from>
    <to>
      <col>1</col>
      <colOff>219075</colOff>
      <row>68</row>
      <rowOff>114300</rowOff>
    </to>
    <pic>
      <nvPicPr>
        <cNvPr id="68" name="Afbeelding 67" descr="Croatia">
          <a:hlinkClick xmlns:a="http://schemas.openxmlformats.org/drawingml/2006/main" xmlns:r="http://schemas.openxmlformats.org/officeDocument/2006/relationships" tooltip="Croatia" r:id="rId12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70808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69</row>
      <rowOff>0</rowOff>
    </from>
    <to>
      <col>1</col>
      <colOff>219075</colOff>
      <row>69</row>
      <rowOff>114300</rowOff>
    </to>
    <pic>
      <nvPicPr>
        <cNvPr id="69" name="Afbeelding 68" descr="Cuba">
          <a:hlinkClick xmlns:a="http://schemas.openxmlformats.org/drawingml/2006/main" xmlns:r="http://schemas.openxmlformats.org/officeDocument/2006/relationships" tooltip="Cuba" r:id="rId1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7566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70</row>
      <rowOff>0</rowOff>
    </from>
    <to>
      <col>1</col>
      <colOff>219075</colOff>
      <row>70</row>
      <rowOff>142875</rowOff>
    </to>
    <pic>
      <nvPicPr>
        <cNvPr id="70" name="Afbeelding 69" descr="Curaçao">
          <a:hlinkClick xmlns:a="http://schemas.openxmlformats.org/drawingml/2006/main" xmlns:r="http://schemas.openxmlformats.org/officeDocument/2006/relationships" tooltip="Curaçao" r:id="rId13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8052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71</row>
      <rowOff>0</rowOff>
    </from>
    <to>
      <col>1</col>
      <colOff>219075</colOff>
      <row>71</row>
      <rowOff>142875</rowOff>
    </to>
    <pic>
      <nvPicPr>
        <cNvPr id="71" name="Afbeelding 70" descr="Cyprus">
          <a:hlinkClick xmlns:a="http://schemas.openxmlformats.org/drawingml/2006/main" xmlns:r="http://schemas.openxmlformats.org/officeDocument/2006/relationships" tooltip="Cyprus" r:id="rId13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87000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72</row>
      <rowOff>0</rowOff>
    </from>
    <to>
      <col>1</col>
      <colOff>219075</colOff>
      <row>72</row>
      <rowOff>142875</rowOff>
    </to>
    <pic>
      <nvPicPr>
        <cNvPr id="72" name="Afbeelding 71" descr="Czech Republic">
          <a:hlinkClick xmlns:a="http://schemas.openxmlformats.org/drawingml/2006/main" xmlns:r="http://schemas.openxmlformats.org/officeDocument/2006/relationships" tooltip="Czech Republic" r:id="rId13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91858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73</row>
      <rowOff>0</rowOff>
    </from>
    <to>
      <col>1</col>
      <colOff>219075</colOff>
      <row>73</row>
      <rowOff>114300</rowOff>
    </to>
    <pic>
      <nvPicPr>
        <cNvPr id="73" name="Afbeelding 72" descr="North Korea">
          <a:hlinkClick xmlns:a="http://schemas.openxmlformats.org/drawingml/2006/main" xmlns:r="http://schemas.openxmlformats.org/officeDocument/2006/relationships" tooltip="North Korea" r:id="rId1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9671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74</row>
      <rowOff>0</rowOff>
    </from>
    <to>
      <col>1</col>
      <colOff>190500</colOff>
      <row>74</row>
      <rowOff>142875</rowOff>
    </to>
    <pic>
      <nvPicPr>
        <cNvPr id="74" name="Afbeelding 73" descr="Democratic Republic of the Congo">
          <a:hlinkClick xmlns:a="http://schemas.openxmlformats.org/drawingml/2006/main" xmlns:r="http://schemas.openxmlformats.org/officeDocument/2006/relationships" tooltip="Democratic Republic of the Congo" r:id="rId1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9995475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75</row>
      <rowOff>0</rowOff>
    </from>
    <to>
      <col>1</col>
      <colOff>190500</colOff>
      <row>75</row>
      <rowOff>142875</rowOff>
    </to>
    <pic>
      <nvPicPr>
        <cNvPr id="75" name="Afbeelding 74" descr="Denmark">
          <a:hlinkClick xmlns:a="http://schemas.openxmlformats.org/drawingml/2006/main" xmlns:r="http://schemas.openxmlformats.org/officeDocument/2006/relationships" tooltip="Denmark" r:id="rId13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0157400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76</row>
      <rowOff>0</rowOff>
    </from>
    <to>
      <col>1</col>
      <colOff>219075</colOff>
      <row>76</row>
      <rowOff>142875</rowOff>
    </to>
    <pic>
      <nvPicPr>
        <cNvPr id="76" name="Afbeelding 75" descr="Djibouti">
          <a:hlinkClick xmlns:a="http://schemas.openxmlformats.org/drawingml/2006/main" xmlns:r="http://schemas.openxmlformats.org/officeDocument/2006/relationships" tooltip="Djibouti" r:id="rId14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0805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77</row>
      <rowOff>0</rowOff>
    </from>
    <to>
      <col>1</col>
      <colOff>219075</colOff>
      <row>77</row>
      <rowOff>114300</rowOff>
    </to>
    <pic>
      <nvPicPr>
        <cNvPr id="77" name="Afbeelding 76" descr="Dominica">
          <a:hlinkClick xmlns:a="http://schemas.openxmlformats.org/drawingml/2006/main" xmlns:r="http://schemas.openxmlformats.org/officeDocument/2006/relationships" tooltip="Dominica" r:id="rId14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12908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78</row>
      <rowOff>0</rowOff>
    </from>
    <to>
      <col>1</col>
      <colOff>219075</colOff>
      <row>78</row>
      <rowOff>142875</rowOff>
    </to>
    <pic>
      <nvPicPr>
        <cNvPr id="78" name="Afbeelding 77" descr="Dominican Republic">
          <a:hlinkClick xmlns:a="http://schemas.openxmlformats.org/drawingml/2006/main" xmlns:r="http://schemas.openxmlformats.org/officeDocument/2006/relationships" tooltip="Dominican Republic" r:id="rId14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1938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79</row>
      <rowOff>0</rowOff>
    </from>
    <to>
      <col>1</col>
      <colOff>219075</colOff>
      <row>79</row>
      <rowOff>114300</rowOff>
    </to>
    <pic>
      <nvPicPr>
        <cNvPr id="79" name="Afbeelding 78" descr="East Timor">
          <a:hlinkClick xmlns:a="http://schemas.openxmlformats.org/drawingml/2006/main" xmlns:r="http://schemas.openxmlformats.org/officeDocument/2006/relationships" tooltip="East Timor" r:id="rId1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25862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80</row>
      <rowOff>0</rowOff>
    </from>
    <to>
      <col>1</col>
      <colOff>219075</colOff>
      <row>80</row>
      <rowOff>142875</rowOff>
    </to>
    <pic>
      <nvPicPr>
        <cNvPr id="80" name="Afbeelding 79" descr="Ecuador">
          <a:hlinkClick xmlns:a="http://schemas.openxmlformats.org/drawingml/2006/main" xmlns:r="http://schemas.openxmlformats.org/officeDocument/2006/relationships" tooltip="Ecuador" r:id="rId1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27482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81</row>
      <rowOff>0</rowOff>
    </from>
    <to>
      <col>1</col>
      <colOff>219075</colOff>
      <row>81</row>
      <rowOff>142875</rowOff>
    </to>
    <pic>
      <nvPicPr>
        <cNvPr id="81" name="Afbeelding 80" descr="Egypt">
          <a:hlinkClick xmlns:a="http://schemas.openxmlformats.org/drawingml/2006/main" xmlns:r="http://schemas.openxmlformats.org/officeDocument/2006/relationships" tooltip="Egypt" r:id="rId1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33959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82</row>
      <rowOff>0</rowOff>
    </from>
    <to>
      <col>1</col>
      <colOff>219075</colOff>
      <row>82</row>
      <rowOff>123825</rowOff>
    </to>
    <pic>
      <nvPicPr>
        <cNvPr id="82" name="Afbeelding 81" descr="El Salvador">
          <a:hlinkClick xmlns:a="http://schemas.openxmlformats.org/drawingml/2006/main" xmlns:r="http://schemas.openxmlformats.org/officeDocument/2006/relationships" tooltip="El Salvador" r:id="rId1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3881675"/>
          <a:ext cx="21907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83</row>
      <rowOff>0</rowOff>
    </from>
    <to>
      <col>1</col>
      <colOff>219075</colOff>
      <row>83</row>
      <rowOff>133350</rowOff>
    </to>
    <pic>
      <nvPicPr>
        <cNvPr id="83" name="Afbeelding 82" descr="England">
          <a:hlinkClick xmlns:a="http://schemas.openxmlformats.org/drawingml/2006/main" xmlns:r="http://schemas.openxmlformats.org/officeDocument/2006/relationships" tooltip="England" r:id="rId15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45293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84</row>
      <rowOff>0</rowOff>
    </from>
    <to>
      <col>1</col>
      <colOff>219075</colOff>
      <row>84</row>
      <rowOff>142875</rowOff>
    </to>
    <pic>
      <nvPicPr>
        <cNvPr id="84" name="Afbeelding 83" descr="Equatorial Guinea">
          <a:hlinkClick xmlns:a="http://schemas.openxmlformats.org/drawingml/2006/main" xmlns:r="http://schemas.openxmlformats.org/officeDocument/2006/relationships" tooltip="Equatorial Guinea" r:id="rId15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4691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85</row>
      <rowOff>0</rowOff>
    </from>
    <to>
      <col>1</col>
      <colOff>219075</colOff>
      <row>85</row>
      <rowOff>114300</rowOff>
    </to>
    <pic>
      <nvPicPr>
        <cNvPr id="85" name="Afbeelding 84" descr="Eritrea">
          <a:hlinkClick xmlns:a="http://schemas.openxmlformats.org/drawingml/2006/main" xmlns:r="http://schemas.openxmlformats.org/officeDocument/2006/relationships" tooltip="Eritrea" r:id="rId15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55009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86</row>
      <rowOff>0</rowOff>
    </from>
    <to>
      <col>1</col>
      <colOff>219075</colOff>
      <row>86</row>
      <rowOff>142875</rowOff>
    </to>
    <pic>
      <nvPicPr>
        <cNvPr id="86" name="Afbeelding 85" descr="Estonia">
          <a:hlinkClick xmlns:a="http://schemas.openxmlformats.org/drawingml/2006/main" xmlns:r="http://schemas.openxmlformats.org/officeDocument/2006/relationships" tooltip="Estonia" r:id="rId1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59867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87</row>
      <rowOff>0</rowOff>
    </from>
    <to>
      <col>1</col>
      <colOff>219075</colOff>
      <row>87</row>
      <rowOff>142875</rowOff>
    </to>
    <pic>
      <nvPicPr>
        <cNvPr id="87" name="Afbeelding 86" descr="Eswatini">
          <a:hlinkClick xmlns:a="http://schemas.openxmlformats.org/drawingml/2006/main" xmlns:r="http://schemas.openxmlformats.org/officeDocument/2006/relationships" tooltip="Eswatini" r:id="rId16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66344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88</row>
      <rowOff>0</rowOff>
    </from>
    <to>
      <col>1</col>
      <colOff>219075</colOff>
      <row>88</row>
      <rowOff>114300</rowOff>
    </to>
    <pic>
      <nvPicPr>
        <cNvPr id="88" name="Afbeelding 87" descr="Ethiopia">
          <a:hlinkClick xmlns:a="http://schemas.openxmlformats.org/drawingml/2006/main" xmlns:r="http://schemas.openxmlformats.org/officeDocument/2006/relationships" tooltip="Ethiopia" r:id="rId16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72821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89</row>
      <rowOff>0</rowOff>
    </from>
    <to>
      <col>1</col>
      <colOff>219075</colOff>
      <row>89</row>
      <rowOff>114300</rowOff>
    </to>
    <pic>
      <nvPicPr>
        <cNvPr id="89" name="Afbeelding 88" descr="Falkland Islands">
          <a:hlinkClick xmlns:a="http://schemas.openxmlformats.org/drawingml/2006/main" xmlns:r="http://schemas.openxmlformats.org/officeDocument/2006/relationships" tooltip="Falkland Islands" r:id="rId16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8415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90</row>
      <rowOff>0</rowOff>
    </from>
    <to>
      <col>1</col>
      <colOff>200025</colOff>
      <row>90</row>
      <rowOff>142875</rowOff>
    </to>
    <pic>
      <nvPicPr>
        <cNvPr id="90" name="Afbeelding 89" descr="Faroe Islands">
          <a:hlinkClick xmlns:a="http://schemas.openxmlformats.org/drawingml/2006/main" xmlns:r="http://schemas.openxmlformats.org/officeDocument/2006/relationships" tooltip="Faroe Islands" r:id="rId16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924425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91</row>
      <rowOff>0</rowOff>
    </from>
    <to>
      <col>1</col>
      <colOff>219075</colOff>
      <row>91</row>
      <rowOff>114300</rowOff>
    </to>
    <pic>
      <nvPicPr>
        <cNvPr id="91" name="Afbeelding 90" descr="Fiji">
          <a:hlinkClick xmlns:a="http://schemas.openxmlformats.org/drawingml/2006/main" xmlns:r="http://schemas.openxmlformats.org/officeDocument/2006/relationships" tooltip="Fiji" r:id="rId17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9730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92</row>
      <rowOff>0</rowOff>
    </from>
    <to>
      <col>1</col>
      <colOff>219075</colOff>
      <row>92</row>
      <rowOff>133350</rowOff>
    </to>
    <pic>
      <nvPicPr>
        <cNvPr id="92" name="Afbeelding 91" descr="Finland">
          <a:hlinkClick xmlns:a="http://schemas.openxmlformats.org/drawingml/2006/main" xmlns:r="http://schemas.openxmlformats.org/officeDocument/2006/relationships" tooltip="Finland" r:id="rId17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02158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93</row>
      <rowOff>0</rowOff>
    </from>
    <to>
      <col>1</col>
      <colOff>219075</colOff>
      <row>93</row>
      <rowOff>142875</rowOff>
    </to>
    <pic>
      <nvPicPr>
        <cNvPr id="93" name="Afbeelding 92" descr="France">
          <a:hlinkClick xmlns:a="http://schemas.openxmlformats.org/drawingml/2006/main" xmlns:r="http://schemas.openxmlformats.org/officeDocument/2006/relationships" tooltip="France" r:id="rId1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0701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94</row>
      <rowOff>0</rowOff>
    </from>
    <to>
      <col>1</col>
      <colOff>219075</colOff>
      <row>94</row>
      <rowOff>142875</rowOff>
    </to>
    <pic>
      <nvPicPr>
        <cNvPr id="94" name="Afbeelding 93" descr="French Guiana">
          <a:hlinkClick xmlns:a="http://schemas.openxmlformats.org/drawingml/2006/main" xmlns:r="http://schemas.openxmlformats.org/officeDocument/2006/relationships" tooltip="French Guiana" r:id="rId17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1873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95</row>
      <rowOff>0</rowOff>
    </from>
    <to>
      <col>1</col>
      <colOff>219075</colOff>
      <row>95</row>
      <rowOff>142875</rowOff>
    </to>
    <pic>
      <nvPicPr>
        <cNvPr id="95" name="Afbeelding 94" descr="French Polynesia">
          <a:hlinkClick xmlns:a="http://schemas.openxmlformats.org/drawingml/2006/main" xmlns:r="http://schemas.openxmlformats.org/officeDocument/2006/relationships" tooltip="French Polynesia" r:id="rId17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5112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96</row>
      <rowOff>0</rowOff>
    </from>
    <to>
      <col>1</col>
      <colOff>219075</colOff>
      <row>96</row>
      <rowOff>142875</rowOff>
    </to>
    <pic>
      <nvPicPr>
        <cNvPr id="96" name="Afbeelding 95" descr="French Southern and Antarctic Lands">
          <a:hlinkClick xmlns:a="http://schemas.openxmlformats.org/drawingml/2006/main" xmlns:r="http://schemas.openxmlformats.org/officeDocument/2006/relationships" tooltip="French Southern and Antarctic Lands" r:id="rId17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8350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97</row>
      <rowOff>0</rowOff>
    </from>
    <to>
      <col>1</col>
      <colOff>190500</colOff>
      <row>97</row>
      <rowOff>142875</rowOff>
    </to>
    <pic>
      <nvPicPr>
        <cNvPr id="97" name="Afbeelding 96" descr="Gabon">
          <a:hlinkClick xmlns:a="http://schemas.openxmlformats.org/drawingml/2006/main" xmlns:r="http://schemas.openxmlformats.org/officeDocument/2006/relationships" tooltip="Gabon" r:id="rId18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2806600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98</row>
      <rowOff>0</rowOff>
    </from>
    <to>
      <col>1</col>
      <colOff>219075</colOff>
      <row>98</row>
      <rowOff>142875</rowOff>
    </to>
    <pic>
      <nvPicPr>
        <cNvPr id="98" name="Afbeelding 97" descr="The Gambia">
          <a:hlinkClick xmlns:a="http://schemas.openxmlformats.org/drawingml/2006/main" xmlns:r="http://schemas.openxmlformats.org/officeDocument/2006/relationships" tooltip="The Gambia" r:id="rId18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3454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99</row>
      <rowOff>0</rowOff>
    </from>
    <to>
      <col>1</col>
      <colOff>219075</colOff>
      <row>99</row>
      <rowOff>142875</rowOff>
    </to>
    <pic>
      <nvPicPr>
        <cNvPr id="99" name="Afbeelding 98" descr="Georgia (country)">
          <a:hlinkClick xmlns:a="http://schemas.openxmlformats.org/drawingml/2006/main" xmlns:r="http://schemas.openxmlformats.org/officeDocument/2006/relationships" tooltip="Georgia (country)" r:id="rId18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41020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100</row>
      <rowOff>0</rowOff>
    </from>
    <to>
      <col>1</col>
      <colOff>219075</colOff>
      <row>100</row>
      <rowOff>133350</rowOff>
    </to>
    <pic>
      <nvPicPr>
        <cNvPr id="100" name="Afbeelding 99" descr="Germany">
          <a:hlinkClick xmlns:a="http://schemas.openxmlformats.org/drawingml/2006/main" xmlns:r="http://schemas.openxmlformats.org/officeDocument/2006/relationships" tooltip="Germany" r:id="rId18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45877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101</row>
      <rowOff>0</rowOff>
    </from>
    <to>
      <col>1</col>
      <colOff>219075</colOff>
      <row>101</row>
      <rowOff>142875</rowOff>
    </to>
    <pic>
      <nvPicPr>
        <cNvPr id="101" name="Afbeelding 100" descr="Ghana">
          <a:hlinkClick xmlns:a="http://schemas.openxmlformats.org/drawingml/2006/main" xmlns:r="http://schemas.openxmlformats.org/officeDocument/2006/relationships" tooltip="Ghana" r:id="rId18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53974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102</row>
      <rowOff>0</rowOff>
    </from>
    <to>
      <col>1</col>
      <colOff>219075</colOff>
      <row>102</row>
      <rowOff>114300</rowOff>
    </to>
    <pic>
      <nvPicPr>
        <cNvPr id="102" name="Afbeelding 101" descr="Gibraltar">
          <a:hlinkClick xmlns:a="http://schemas.openxmlformats.org/drawingml/2006/main" xmlns:r="http://schemas.openxmlformats.org/officeDocument/2006/relationships" tooltip="Gibraltar" r:id="rId19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58831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103</row>
      <rowOff>0</rowOff>
    </from>
    <to>
      <col>1</col>
      <colOff>219075</colOff>
      <row>103</row>
      <rowOff>114300</rowOff>
    </to>
    <pic>
      <nvPicPr>
        <cNvPr id="103" name="Afbeelding 102" descr="United Kingdom">
          <a:hlinkClick xmlns:a="http://schemas.openxmlformats.org/drawingml/2006/main" xmlns:r="http://schemas.openxmlformats.org/officeDocument/2006/relationships" tooltip="United Kingdom" r:id="rId1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6207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104</row>
      <rowOff>0</rowOff>
    </from>
    <to>
      <col>1</col>
      <colOff>219075</colOff>
      <row>104</row>
      <rowOff>142875</rowOff>
    </to>
    <pic>
      <nvPicPr>
        <cNvPr id="104" name="Afbeelding 103" descr="Greece">
          <a:hlinkClick xmlns:a="http://schemas.openxmlformats.org/drawingml/2006/main" xmlns:r="http://schemas.openxmlformats.org/officeDocument/2006/relationships" tooltip="Greece" r:id="rId19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63689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105</row>
      <rowOff>0</rowOff>
    </from>
    <to>
      <col>1</col>
      <colOff>219075</colOff>
      <row>105</row>
      <rowOff>142875</rowOff>
    </to>
    <pic>
      <nvPicPr>
        <cNvPr id="105" name="Afbeelding 104" descr="Greenland">
          <a:hlinkClick xmlns:a="http://schemas.openxmlformats.org/drawingml/2006/main" xmlns:r="http://schemas.openxmlformats.org/officeDocument/2006/relationships" tooltip="Greenland" r:id="rId19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68547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106</row>
      <rowOff>0</rowOff>
    </from>
    <to>
      <col>1</col>
      <colOff>219075</colOff>
      <row>106</row>
      <rowOff>133350</rowOff>
    </to>
    <pic>
      <nvPicPr>
        <cNvPr id="106" name="Afbeelding 105" descr="Grenada">
          <a:hlinkClick xmlns:a="http://schemas.openxmlformats.org/drawingml/2006/main" xmlns:r="http://schemas.openxmlformats.org/officeDocument/2006/relationships" tooltip="Grenada" r:id="rId19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71785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107</row>
      <rowOff>0</rowOff>
    </from>
    <to>
      <col>1</col>
      <colOff>219075</colOff>
      <row>107</row>
      <rowOff>142875</rowOff>
    </to>
    <pic>
      <nvPicPr>
        <cNvPr id="107" name="Afbeelding 106" descr="Guadeloupe">
          <a:hlinkClick xmlns:a="http://schemas.openxmlformats.org/drawingml/2006/main" xmlns:r="http://schemas.openxmlformats.org/officeDocument/2006/relationships" tooltip="Guadeloupe" r:id="rId20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76643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108</row>
      <rowOff>0</rowOff>
    </from>
    <to>
      <col>1</col>
      <colOff>219075</colOff>
      <row>108</row>
      <rowOff>114300</rowOff>
    </to>
    <pic>
      <nvPicPr>
        <cNvPr id="108" name="Afbeelding 107" descr="Guam">
          <a:hlinkClick xmlns:a="http://schemas.openxmlformats.org/drawingml/2006/main" xmlns:r="http://schemas.openxmlformats.org/officeDocument/2006/relationships" tooltip="Guam" r:id="rId20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79882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109</row>
      <rowOff>0</rowOff>
    </from>
    <to>
      <col>1</col>
      <colOff>219075</colOff>
      <row>109</row>
      <rowOff>133350</rowOff>
    </to>
    <pic>
      <nvPicPr>
        <cNvPr id="109" name="Afbeelding 108" descr="Guatemala">
          <a:hlinkClick xmlns:a="http://schemas.openxmlformats.org/drawingml/2006/main" xmlns:r="http://schemas.openxmlformats.org/officeDocument/2006/relationships" tooltip="Guatemala" r:id="rId20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84739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110</row>
      <rowOff>0</rowOff>
    </from>
    <to>
      <col>1</col>
      <colOff>219075</colOff>
      <row>110</row>
      <rowOff>142875</rowOff>
    </to>
    <pic>
      <nvPicPr>
        <cNvPr id="110" name="Afbeelding 109" descr="Guernsey">
          <a:hlinkClick xmlns:a="http://schemas.openxmlformats.org/drawingml/2006/main" xmlns:r="http://schemas.openxmlformats.org/officeDocument/2006/relationships" tooltip="Guernsey" r:id="rId20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92836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111</row>
      <rowOff>0</rowOff>
    </from>
    <to>
      <col>1</col>
      <colOff>219075</colOff>
      <row>111</row>
      <rowOff>142875</rowOff>
    </to>
    <pic>
      <nvPicPr>
        <cNvPr id="111" name="Afbeelding 110" descr="Guinea">
          <a:hlinkClick xmlns:a="http://schemas.openxmlformats.org/drawingml/2006/main" xmlns:r="http://schemas.openxmlformats.org/officeDocument/2006/relationships" tooltip="Guinea" r:id="rId20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9931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112</row>
      <rowOff>0</rowOff>
    </from>
    <to>
      <col>1</col>
      <colOff>219075</colOff>
      <row>112</row>
      <rowOff>114300</rowOff>
    </to>
    <pic>
      <nvPicPr>
        <cNvPr id="112" name="Afbeelding 111" descr="Guinea-Bissau">
          <a:hlinkClick xmlns:a="http://schemas.openxmlformats.org/drawingml/2006/main" xmlns:r="http://schemas.openxmlformats.org/officeDocument/2006/relationships" tooltip="Guinea-Bissau" r:id="rId21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04170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113</row>
      <rowOff>0</rowOff>
    </from>
    <to>
      <col>1</col>
      <colOff>219075</colOff>
      <row>113</row>
      <rowOff>133350</rowOff>
    </to>
    <pic>
      <nvPicPr>
        <cNvPr id="113" name="Afbeelding 112" descr="Guyana">
          <a:hlinkClick xmlns:a="http://schemas.openxmlformats.org/drawingml/2006/main" xmlns:r="http://schemas.openxmlformats.org/officeDocument/2006/relationships" tooltip="Guyana" r:id="rId21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10647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114</row>
      <rowOff>0</rowOff>
    </from>
    <to>
      <col>1</col>
      <colOff>219075</colOff>
      <row>114</row>
      <rowOff>133350</rowOff>
    </to>
    <pic>
      <nvPicPr>
        <cNvPr id="114" name="Afbeelding 113" descr="Haiti">
          <a:hlinkClick xmlns:a="http://schemas.openxmlformats.org/drawingml/2006/main" xmlns:r="http://schemas.openxmlformats.org/officeDocument/2006/relationships" tooltip="Haiti" r:id="rId21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18744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115</row>
      <rowOff>0</rowOff>
    </from>
    <to>
      <col>1</col>
      <colOff>219075</colOff>
      <row>115</row>
      <rowOff>114300</rowOff>
    </to>
    <pic>
      <nvPicPr>
        <cNvPr id="115" name="Afbeelding 114" descr="United States">
          <a:hlinkClick xmlns:a="http://schemas.openxmlformats.org/drawingml/2006/main" xmlns:r="http://schemas.openxmlformats.org/officeDocument/2006/relationships" tooltip="United States" r:id="rId21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23601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116</row>
      <rowOff>0</rowOff>
    </from>
    <to>
      <col>1</col>
      <colOff>219075</colOff>
      <row>116</row>
      <rowOff>114300</rowOff>
    </to>
    <pic>
      <nvPicPr>
        <cNvPr id="116" name="Afbeelding 115" descr="Heard Island and McDonald Islands">
          <a:hlinkClick xmlns:a="http://schemas.openxmlformats.org/drawingml/2006/main" xmlns:r="http://schemas.openxmlformats.org/officeDocument/2006/relationships" tooltip="Heard Island and McDonald Islands" r:id="rId21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25221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117</row>
      <rowOff>0</rowOff>
    </from>
    <to>
      <col>1</col>
      <colOff>142875</colOff>
      <row>117</row>
      <rowOff>142875</rowOff>
    </to>
    <pic>
      <nvPicPr>
        <cNvPr id="117" name="Afbeelding 116" descr="Holy See">
          <a:hlinkClick xmlns:a="http://schemas.openxmlformats.org/drawingml/2006/main" xmlns:r="http://schemas.openxmlformats.org/officeDocument/2006/relationships" tooltip="Holy See" r:id="rId22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3655575"/>
          <a:ext cx="1428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118</row>
      <rowOff>0</rowOff>
    </from>
    <to>
      <col>1</col>
      <colOff>219075</colOff>
      <row>118</row>
      <rowOff>114300</rowOff>
    </to>
    <pic>
      <nvPicPr>
        <cNvPr id="118" name="Afbeelding 117" descr="Honduras">
          <a:hlinkClick xmlns:a="http://schemas.openxmlformats.org/drawingml/2006/main" xmlns:r="http://schemas.openxmlformats.org/officeDocument/2006/relationships" tooltip="Honduras" r:id="rId22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39984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119</row>
      <rowOff>0</rowOff>
    </from>
    <to>
      <col>1</col>
      <colOff>219075</colOff>
      <row>119</row>
      <rowOff>142875</rowOff>
    </to>
    <pic>
      <nvPicPr>
        <cNvPr id="119" name="Afbeelding 118" descr="Hong Kong">
          <a:hlinkClick xmlns:a="http://schemas.openxmlformats.org/drawingml/2006/main" xmlns:r="http://schemas.openxmlformats.org/officeDocument/2006/relationships" tooltip="Hong Kong" r:id="rId22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46461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120</row>
      <rowOff>0</rowOff>
    </from>
    <to>
      <col>1</col>
      <colOff>219075</colOff>
      <row>120</row>
      <rowOff>114300</rowOff>
    </to>
    <pic>
      <nvPicPr>
        <cNvPr id="120" name="Afbeelding 119" descr="Hungary">
          <a:hlinkClick xmlns:a="http://schemas.openxmlformats.org/drawingml/2006/main" xmlns:r="http://schemas.openxmlformats.org/officeDocument/2006/relationships" tooltip="Hungary" r:id="rId22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57987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121</row>
      <rowOff>0</rowOff>
    </from>
    <to>
      <col>1</col>
      <colOff>200025</colOff>
      <row>121</row>
      <rowOff>142875</rowOff>
    </to>
    <pic>
      <nvPicPr>
        <cNvPr id="121" name="Afbeelding 120" descr="Iceland">
          <a:hlinkClick xmlns:a="http://schemas.openxmlformats.org/drawingml/2006/main" xmlns:r="http://schemas.openxmlformats.org/officeDocument/2006/relationships" tooltip="Iceland" r:id="rId22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6284475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122</row>
      <rowOff>0</rowOff>
    </from>
    <to>
      <col>1</col>
      <colOff>219075</colOff>
      <row>122</row>
      <rowOff>142875</rowOff>
    </to>
    <pic>
      <nvPicPr>
        <cNvPr id="122" name="Afbeelding 121" descr="India">
          <a:hlinkClick xmlns:a="http://schemas.openxmlformats.org/drawingml/2006/main" xmlns:r="http://schemas.openxmlformats.org/officeDocument/2006/relationships" tooltip="India" r:id="rId23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67702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123</row>
      <rowOff>0</rowOff>
    </from>
    <to>
      <col>1</col>
      <colOff>219075</colOff>
      <row>123</row>
      <rowOff>142875</rowOff>
    </to>
    <pic>
      <nvPicPr>
        <cNvPr id="123" name="Afbeelding 122" descr="Indonesia">
          <a:hlinkClick xmlns:a="http://schemas.openxmlformats.org/drawingml/2006/main" xmlns:r="http://schemas.openxmlformats.org/officeDocument/2006/relationships" tooltip="Indonesia" r:id="rId23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7256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124</row>
      <rowOff>0</rowOff>
    </from>
    <to>
      <col>1</col>
      <colOff>219075</colOff>
      <row>124</row>
      <rowOff>123825</rowOff>
    </to>
    <pic>
      <nvPicPr>
        <cNvPr id="124" name="Afbeelding 123" descr="Iran">
          <a:hlinkClick xmlns:a="http://schemas.openxmlformats.org/drawingml/2006/main" xmlns:r="http://schemas.openxmlformats.org/officeDocument/2006/relationships" tooltip="Iran" r:id="rId23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7903725"/>
          <a:ext cx="21907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125</row>
      <rowOff>0</rowOff>
    </from>
    <to>
      <col>1</col>
      <colOff>219075</colOff>
      <row>125</row>
      <rowOff>142875</rowOff>
    </to>
    <pic>
      <nvPicPr>
        <cNvPr id="125" name="Afbeelding 124" descr="Iraq">
          <a:hlinkClick xmlns:a="http://schemas.openxmlformats.org/drawingml/2006/main" xmlns:r="http://schemas.openxmlformats.org/officeDocument/2006/relationships" tooltip="Iraq" r:id="rId23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8551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126</row>
      <rowOff>0</rowOff>
    </from>
    <to>
      <col>1</col>
      <colOff>219075</colOff>
      <row>126</row>
      <rowOff>114300</rowOff>
    </to>
    <pic>
      <nvPicPr>
        <cNvPr id="126" name="Afbeelding 125" descr="Republic of Ireland">
          <a:hlinkClick xmlns:a="http://schemas.openxmlformats.org/drawingml/2006/main" xmlns:r="http://schemas.openxmlformats.org/officeDocument/2006/relationships" tooltip="Republic of Ireland" r:id="rId23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90372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127</row>
      <rowOff>0</rowOff>
    </from>
    <to>
      <col>1</col>
      <colOff>219075</colOff>
      <row>127</row>
      <rowOff>114300</rowOff>
    </to>
    <pic>
      <nvPicPr>
        <cNvPr id="127" name="Afbeelding 126" descr="Isle of Man">
          <a:hlinkClick xmlns:a="http://schemas.openxmlformats.org/drawingml/2006/main" xmlns:r="http://schemas.openxmlformats.org/officeDocument/2006/relationships" tooltip="Isle of Man" r:id="rId24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95229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128</row>
      <rowOff>0</rowOff>
    </from>
    <to>
      <col>1</col>
      <colOff>200025</colOff>
      <row>128</row>
      <rowOff>142875</rowOff>
    </to>
    <pic>
      <nvPicPr>
        <cNvPr id="128" name="Afbeelding 127" descr="Israel">
          <a:hlinkClick xmlns:a="http://schemas.openxmlformats.org/drawingml/2006/main" xmlns:r="http://schemas.openxmlformats.org/officeDocument/2006/relationships" tooltip="Israel" r:id="rId24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9846825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129</row>
      <rowOff>0</rowOff>
    </from>
    <to>
      <col>1</col>
      <colOff>219075</colOff>
      <row>129</row>
      <rowOff>142875</rowOff>
    </to>
    <pic>
      <nvPicPr>
        <cNvPr id="129" name="Afbeelding 128" descr="Italy">
          <a:hlinkClick xmlns:a="http://schemas.openxmlformats.org/drawingml/2006/main" xmlns:r="http://schemas.openxmlformats.org/officeDocument/2006/relationships" tooltip="Italy" r:id="rId24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03326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130</row>
      <rowOff>0</rowOff>
    </from>
    <to>
      <col>1</col>
      <colOff>219075</colOff>
      <row>130</row>
      <rowOff>142875</rowOff>
    </to>
    <pic>
      <nvPicPr>
        <cNvPr id="130" name="Afbeelding 129" descr="Ivory Coast">
          <a:hlinkClick xmlns:a="http://schemas.openxmlformats.org/drawingml/2006/main" xmlns:r="http://schemas.openxmlformats.org/officeDocument/2006/relationships" tooltip="Ivory Coast" r:id="rId1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0818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131</row>
      <rowOff>0</rowOff>
    </from>
    <to>
      <col>1</col>
      <colOff>219075</colOff>
      <row>131</row>
      <rowOff>114300</rowOff>
    </to>
    <pic>
      <nvPicPr>
        <cNvPr id="131" name="Afbeelding 130" descr="Jamaica">
          <a:hlinkClick xmlns:a="http://schemas.openxmlformats.org/drawingml/2006/main" xmlns:r="http://schemas.openxmlformats.org/officeDocument/2006/relationships" tooltip="Jamaica" r:id="rId24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09803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132</row>
      <rowOff>0</rowOff>
    </from>
    <to>
      <col>1</col>
      <colOff>200025</colOff>
      <row>132</row>
      <rowOff>142875</rowOff>
    </to>
    <pic>
      <nvPicPr>
        <cNvPr id="132" name="Afbeelding 131" descr="Jan Mayen">
          <a:hlinkClick xmlns:a="http://schemas.openxmlformats.org/drawingml/2006/main" xmlns:r="http://schemas.openxmlformats.org/officeDocument/2006/relationships" tooltip="Jan Mayen" r:id="rId24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1466075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133</row>
      <rowOff>0</rowOff>
    </from>
    <to>
      <col>1</col>
      <colOff>219075</colOff>
      <row>133</row>
      <rowOff>142875</rowOff>
    </to>
    <pic>
      <nvPicPr>
        <cNvPr id="133" name="Afbeelding 132" descr="Japan">
          <a:hlinkClick xmlns:a="http://schemas.openxmlformats.org/drawingml/2006/main" xmlns:r="http://schemas.openxmlformats.org/officeDocument/2006/relationships" tooltip="Japan" r:id="rId2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16280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134</row>
      <rowOff>0</rowOff>
    </from>
    <to>
      <col>1</col>
      <colOff>219075</colOff>
      <row>134</row>
      <rowOff>133350</rowOff>
    </to>
    <pic>
      <nvPicPr>
        <cNvPr id="134" name="Afbeelding 133" descr="Jersey">
          <a:hlinkClick xmlns:a="http://schemas.openxmlformats.org/drawingml/2006/main" xmlns:r="http://schemas.openxmlformats.org/officeDocument/2006/relationships" tooltip="Jersey" r:id="rId2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21137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135</row>
      <rowOff>0</rowOff>
    </from>
    <to>
      <col>1</col>
      <colOff>219075</colOff>
      <row>135</row>
      <rowOff>114300</rowOff>
    </to>
    <pic>
      <nvPicPr>
        <cNvPr id="135" name="Afbeelding 134" descr="Jordan">
          <a:hlinkClick xmlns:a="http://schemas.openxmlformats.org/drawingml/2006/main" xmlns:r="http://schemas.openxmlformats.org/officeDocument/2006/relationships" tooltip="Jordan" r:id="rId2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25995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136</row>
      <rowOff>0</rowOff>
    </from>
    <to>
      <col>1</col>
      <colOff>219075</colOff>
      <row>136</row>
      <rowOff>114300</rowOff>
    </to>
    <pic>
      <nvPicPr>
        <cNvPr id="136" name="Afbeelding 135" descr="Kazakhstan">
          <a:hlinkClick xmlns:a="http://schemas.openxmlformats.org/drawingml/2006/main" xmlns:r="http://schemas.openxmlformats.org/officeDocument/2006/relationships" tooltip="Kazakhstan" r:id="rId25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34091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137</row>
      <rowOff>0</rowOff>
    </from>
    <to>
      <col>1</col>
      <colOff>219075</colOff>
      <row>137</row>
      <rowOff>142875</rowOff>
    </to>
    <pic>
      <nvPicPr>
        <cNvPr id="137" name="Afbeelding 136" descr="Kenya">
          <a:hlinkClick xmlns:a="http://schemas.openxmlformats.org/drawingml/2006/main" xmlns:r="http://schemas.openxmlformats.org/officeDocument/2006/relationships" tooltip="Kenya" r:id="rId25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42188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138</row>
      <rowOff>0</rowOff>
    </from>
    <to>
      <col>1</col>
      <colOff>219075</colOff>
      <row>138</row>
      <rowOff>114300</rowOff>
    </to>
    <pic>
      <nvPicPr>
        <cNvPr id="138" name="Afbeelding 137" descr="Kiribati">
          <a:hlinkClick xmlns:a="http://schemas.openxmlformats.org/drawingml/2006/main" xmlns:r="http://schemas.openxmlformats.org/officeDocument/2006/relationships" tooltip="Kiribati" r:id="rId25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4704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139</row>
      <rowOff>0</rowOff>
    </from>
    <to>
      <col>1</col>
      <colOff>219075</colOff>
      <row>139</row>
      <rowOff>114300</rowOff>
    </to>
    <pic>
      <nvPicPr>
        <cNvPr id="139" name="Afbeelding 138" descr="North Korea">
          <a:hlinkClick xmlns:a="http://schemas.openxmlformats.org/drawingml/2006/main" xmlns:r="http://schemas.openxmlformats.org/officeDocument/2006/relationships" tooltip="North Korea" r:id="rId1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51903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140</row>
      <rowOff>0</rowOff>
    </from>
    <to>
      <col>1</col>
      <colOff>219075</colOff>
      <row>140</row>
      <rowOff>142875</rowOff>
    </to>
    <pic>
      <nvPicPr>
        <cNvPr id="140" name="Afbeelding 139" descr="South Korea">
          <a:hlinkClick xmlns:a="http://schemas.openxmlformats.org/drawingml/2006/main" xmlns:r="http://schemas.openxmlformats.org/officeDocument/2006/relationships" tooltip="South Korea" r:id="rId2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63428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141</row>
      <rowOff>0</rowOff>
    </from>
    <to>
      <col>1</col>
      <colOff>219075</colOff>
      <row>141</row>
      <rowOff>114300</rowOff>
    </to>
    <pic>
      <nvPicPr>
        <cNvPr id="141" name="Afbeelding 140" descr="Kuwait">
          <a:hlinkClick xmlns:a="http://schemas.openxmlformats.org/drawingml/2006/main" xmlns:r="http://schemas.openxmlformats.org/officeDocument/2006/relationships" tooltip="Kuwait" r:id="rId26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7009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142</row>
      <rowOff>0</rowOff>
    </from>
    <to>
      <col>1</col>
      <colOff>219075</colOff>
      <row>142</row>
      <rowOff>133350</rowOff>
    </to>
    <pic>
      <nvPicPr>
        <cNvPr id="142" name="Afbeelding 141" descr="Kyrgyzstan">
          <a:hlinkClick xmlns:a="http://schemas.openxmlformats.org/drawingml/2006/main" xmlns:r="http://schemas.openxmlformats.org/officeDocument/2006/relationships" tooltip="Kyrgyzstan" r:id="rId26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74954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143</row>
      <rowOff>0</rowOff>
    </from>
    <to>
      <col>1</col>
      <colOff>219075</colOff>
      <row>143</row>
      <rowOff>142875</rowOff>
    </to>
    <pic>
      <nvPicPr>
        <cNvPr id="143" name="Afbeelding 142" descr="Laos">
          <a:hlinkClick xmlns:a="http://schemas.openxmlformats.org/drawingml/2006/main" xmlns:r="http://schemas.openxmlformats.org/officeDocument/2006/relationships" tooltip="Laos" r:id="rId26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79811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144</row>
      <rowOff>0</rowOff>
    </from>
    <to>
      <col>1</col>
      <colOff>219075</colOff>
      <row>144</row>
      <rowOff>114300</rowOff>
    </to>
    <pic>
      <nvPicPr>
        <cNvPr id="144" name="Afbeelding 143" descr="Latvia">
          <a:hlinkClick xmlns:a="http://schemas.openxmlformats.org/drawingml/2006/main" xmlns:r="http://schemas.openxmlformats.org/officeDocument/2006/relationships" tooltip="Latvia" r:id="rId26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89717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145</row>
      <rowOff>0</rowOff>
    </from>
    <to>
      <col>1</col>
      <colOff>219075</colOff>
      <row>145</row>
      <rowOff>142875</rowOff>
    </to>
    <pic>
      <nvPicPr>
        <cNvPr id="145" name="Afbeelding 144" descr="Lebanon">
          <a:hlinkClick xmlns:a="http://schemas.openxmlformats.org/drawingml/2006/main" xmlns:r="http://schemas.openxmlformats.org/officeDocument/2006/relationships" tooltip="Lebanon" r:id="rId27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94575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146</row>
      <rowOff>0</rowOff>
    </from>
    <to>
      <col>1</col>
      <colOff>219075</colOff>
      <row>146</row>
      <rowOff>142875</rowOff>
    </to>
    <pic>
      <nvPicPr>
        <cNvPr id="146" name="Afbeelding 145" descr="Lesotho">
          <a:hlinkClick xmlns:a="http://schemas.openxmlformats.org/drawingml/2006/main" xmlns:r="http://schemas.openxmlformats.org/officeDocument/2006/relationships" tooltip="Lesotho" r:id="rId27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9943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147</row>
      <rowOff>0</rowOff>
    </from>
    <to>
      <col>1</col>
      <colOff>219075</colOff>
      <row>147</row>
      <rowOff>114300</rowOff>
    </to>
    <pic>
      <nvPicPr>
        <cNvPr id="147" name="Afbeelding 146" descr="Liberia">
          <a:hlinkClick xmlns:a="http://schemas.openxmlformats.org/drawingml/2006/main" xmlns:r="http://schemas.openxmlformats.org/officeDocument/2006/relationships" tooltip="Liberia" r:id="rId27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0591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148</row>
      <rowOff>0</rowOff>
    </from>
    <to>
      <col>1</col>
      <colOff>219075</colOff>
      <row>148</row>
      <rowOff>114300</rowOff>
    </to>
    <pic>
      <nvPicPr>
        <cNvPr id="148" name="Afbeelding 147" descr="Libya">
          <a:hlinkClick xmlns:a="http://schemas.openxmlformats.org/drawingml/2006/main" xmlns:r="http://schemas.openxmlformats.org/officeDocument/2006/relationships" tooltip="Libya" r:id="rId27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10768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149</row>
      <rowOff>0</rowOff>
    </from>
    <to>
      <col>1</col>
      <colOff>219075</colOff>
      <row>149</row>
      <rowOff>133350</rowOff>
    </to>
    <pic>
      <nvPicPr>
        <cNvPr id="149" name="Afbeelding 148" descr="Liechtenstein">
          <a:hlinkClick xmlns:a="http://schemas.openxmlformats.org/drawingml/2006/main" xmlns:r="http://schemas.openxmlformats.org/officeDocument/2006/relationships" tooltip="Liechtenstein" r:id="rId27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15625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150</row>
      <rowOff>0</rowOff>
    </from>
    <to>
      <col>1</col>
      <colOff>219075</colOff>
      <row>150</row>
      <rowOff>133350</rowOff>
    </to>
    <pic>
      <nvPicPr>
        <cNvPr id="150" name="Afbeelding 149" descr="Lithuania">
          <a:hlinkClick xmlns:a="http://schemas.openxmlformats.org/drawingml/2006/main" xmlns:r="http://schemas.openxmlformats.org/officeDocument/2006/relationships" tooltip="Lithuania" r:id="rId28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23722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151</row>
      <rowOff>0</rowOff>
    </from>
    <to>
      <col>1</col>
      <colOff>219075</colOff>
      <row>151</row>
      <rowOff>133350</rowOff>
    </to>
    <pic>
      <nvPicPr>
        <cNvPr id="151" name="Afbeelding 150" descr="Luxembourg">
          <a:hlinkClick xmlns:a="http://schemas.openxmlformats.org/drawingml/2006/main" xmlns:r="http://schemas.openxmlformats.org/officeDocument/2006/relationships" tooltip="Luxembourg" r:id="rId28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30199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152</row>
      <rowOff>0</rowOff>
    </from>
    <to>
      <col>1</col>
      <colOff>219075</colOff>
      <row>152</row>
      <rowOff>142875</rowOff>
    </to>
    <pic>
      <nvPicPr>
        <cNvPr id="152" name="Afbeelding 151" descr="Macau">
          <a:hlinkClick xmlns:a="http://schemas.openxmlformats.org/drawingml/2006/main" xmlns:r="http://schemas.openxmlformats.org/officeDocument/2006/relationships" tooltip="Macau" r:id="rId28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38295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153</row>
      <rowOff>0</rowOff>
    </from>
    <to>
      <col>1</col>
      <colOff>219075</colOff>
      <row>153</row>
      <rowOff>114300</rowOff>
    </to>
    <pic>
      <nvPicPr>
        <cNvPr id="153" name="Afbeelding 152" descr="North Macedonia">
          <a:hlinkClick xmlns:a="http://schemas.openxmlformats.org/drawingml/2006/main" xmlns:r="http://schemas.openxmlformats.org/officeDocument/2006/relationships" tooltip="North Macedonia" r:id="rId28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48201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154</row>
      <rowOff>0</rowOff>
    </from>
    <to>
      <col>1</col>
      <colOff>219075</colOff>
      <row>154</row>
      <rowOff>142875</rowOff>
    </to>
    <pic>
      <nvPicPr>
        <cNvPr id="154" name="Afbeelding 153" descr="Madagascar">
          <a:hlinkClick xmlns:a="http://schemas.openxmlformats.org/drawingml/2006/main" xmlns:r="http://schemas.openxmlformats.org/officeDocument/2006/relationships" tooltip="Madagascar" r:id="rId28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54868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155</row>
      <rowOff>0</rowOff>
    </from>
    <to>
      <col>1</col>
      <colOff>219075</colOff>
      <row>155</row>
      <rowOff>142875</rowOff>
    </to>
    <pic>
      <nvPicPr>
        <cNvPr id="155" name="Afbeelding 154" descr="Malawi">
          <a:hlinkClick xmlns:a="http://schemas.openxmlformats.org/drawingml/2006/main" xmlns:r="http://schemas.openxmlformats.org/officeDocument/2006/relationships" tooltip="Malawi" r:id="rId29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62965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156</row>
      <rowOff>0</rowOff>
    </from>
    <to>
      <col>1</col>
      <colOff>219075</colOff>
      <row>156</row>
      <rowOff>114300</rowOff>
    </to>
    <pic>
      <nvPicPr>
        <cNvPr id="156" name="Afbeelding 155" descr="Malaysia">
          <a:hlinkClick xmlns:a="http://schemas.openxmlformats.org/drawingml/2006/main" xmlns:r="http://schemas.openxmlformats.org/officeDocument/2006/relationships" tooltip="Malaysia" r:id="rId2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67822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157</row>
      <rowOff>0</rowOff>
    </from>
    <to>
      <col>1</col>
      <colOff>219075</colOff>
      <row>157</row>
      <rowOff>142875</rowOff>
    </to>
    <pic>
      <nvPicPr>
        <cNvPr id="157" name="Afbeelding 156" descr="Maldives">
          <a:hlinkClick xmlns:a="http://schemas.openxmlformats.org/drawingml/2006/main" xmlns:r="http://schemas.openxmlformats.org/officeDocument/2006/relationships" tooltip="Maldives" r:id="rId29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72680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158</row>
      <rowOff>0</rowOff>
    </from>
    <to>
      <col>1</col>
      <colOff>219075</colOff>
      <row>158</row>
      <rowOff>142875</rowOff>
    </to>
    <pic>
      <nvPicPr>
        <cNvPr id="158" name="Afbeelding 157" descr="Mali">
          <a:hlinkClick xmlns:a="http://schemas.openxmlformats.org/drawingml/2006/main" xmlns:r="http://schemas.openxmlformats.org/officeDocument/2006/relationships" tooltip="Mali" r:id="rId29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79157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159</row>
      <rowOff>0</rowOff>
    </from>
    <to>
      <col>1</col>
      <colOff>219075</colOff>
      <row>159</row>
      <rowOff>142875</rowOff>
    </to>
    <pic>
      <nvPicPr>
        <cNvPr id="159" name="Afbeelding 158" descr="Malta">
          <a:hlinkClick xmlns:a="http://schemas.openxmlformats.org/drawingml/2006/main" xmlns:r="http://schemas.openxmlformats.org/officeDocument/2006/relationships" tooltip="Malta" r:id="rId29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84015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160</row>
      <rowOff>0</rowOff>
    </from>
    <to>
      <col>1</col>
      <colOff>219075</colOff>
      <row>160</row>
      <rowOff>114300</rowOff>
    </to>
    <pic>
      <nvPicPr>
        <cNvPr id="160" name="Afbeelding 159" descr="Marshall Islands">
          <a:hlinkClick xmlns:a="http://schemas.openxmlformats.org/drawingml/2006/main" xmlns:r="http://schemas.openxmlformats.org/officeDocument/2006/relationships" tooltip="Marshall Islands" r:id="rId30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88873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161</row>
      <rowOff>0</rowOff>
    </from>
    <to>
      <col>1</col>
      <colOff>219075</colOff>
      <row>161</row>
      <rowOff>142875</rowOff>
    </to>
    <pic>
      <nvPicPr>
        <cNvPr id="161" name="Afbeelding 160" descr="Martinique">
          <a:hlinkClick xmlns:a="http://schemas.openxmlformats.org/drawingml/2006/main" xmlns:r="http://schemas.openxmlformats.org/officeDocument/2006/relationships" tooltip="Martinique" r:id="rId30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96969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162</row>
      <rowOff>0</rowOff>
    </from>
    <to>
      <col>1</col>
      <colOff>219075</colOff>
      <row>162</row>
      <rowOff>142875</rowOff>
    </to>
    <pic>
      <nvPicPr>
        <cNvPr id="162" name="Afbeelding 161" descr="Mauritania">
          <a:hlinkClick xmlns:a="http://schemas.openxmlformats.org/drawingml/2006/main" xmlns:r="http://schemas.openxmlformats.org/officeDocument/2006/relationships" tooltip="Mauritania" r:id="rId3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00207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163</row>
      <rowOff>0</rowOff>
    </from>
    <to>
      <col>1</col>
      <colOff>219075</colOff>
      <row>163</row>
      <rowOff>142875</rowOff>
    </to>
    <pic>
      <nvPicPr>
        <cNvPr id="163" name="Afbeelding 162" descr="Mauritius">
          <a:hlinkClick xmlns:a="http://schemas.openxmlformats.org/drawingml/2006/main" xmlns:r="http://schemas.openxmlformats.org/officeDocument/2006/relationships" tooltip="Mauritius" r:id="rId30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0992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164</row>
      <rowOff>0</rowOff>
    </from>
    <to>
      <col>1</col>
      <colOff>219075</colOff>
      <row>164</row>
      <rowOff>142875</rowOff>
    </to>
    <pic>
      <nvPicPr>
        <cNvPr id="164" name="Afbeelding 163" descr="Mayotte">
          <a:hlinkClick xmlns:a="http://schemas.openxmlformats.org/drawingml/2006/main" xmlns:r="http://schemas.openxmlformats.org/officeDocument/2006/relationships" tooltip="Mayotte" r:id="rId3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1640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165</row>
      <rowOff>0</rowOff>
    </from>
    <to>
      <col>1</col>
      <colOff>219075</colOff>
      <row>165</row>
      <rowOff>123825</rowOff>
    </to>
    <pic>
      <nvPicPr>
        <cNvPr id="165" name="Afbeelding 164" descr="Mexico">
          <a:hlinkClick xmlns:a="http://schemas.openxmlformats.org/drawingml/2006/main" xmlns:r="http://schemas.openxmlformats.org/officeDocument/2006/relationships" tooltip="Mexico" r:id="rId3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2287725"/>
          <a:ext cx="21907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166</row>
      <rowOff>0</rowOff>
    </from>
    <to>
      <col>1</col>
      <colOff>219075</colOff>
      <row>166</row>
      <rowOff>114300</rowOff>
    </to>
    <pic>
      <nvPicPr>
        <cNvPr id="166" name="Afbeelding 165" descr="Federated States of Micronesia">
          <a:hlinkClick xmlns:a="http://schemas.openxmlformats.org/drawingml/2006/main" xmlns:r="http://schemas.openxmlformats.org/officeDocument/2006/relationships" tooltip="Federated States of Micronesia" r:id="rId3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29354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167</row>
      <rowOff>0</rowOff>
    </from>
    <to>
      <col>1</col>
      <colOff>219075</colOff>
      <row>167</row>
      <rowOff>114300</rowOff>
    </to>
    <pic>
      <nvPicPr>
        <cNvPr id="167" name="Afbeelding 166" descr="Moldova">
          <a:hlinkClick xmlns:a="http://schemas.openxmlformats.org/drawingml/2006/main" xmlns:r="http://schemas.openxmlformats.org/officeDocument/2006/relationships" tooltip="Moldova" r:id="rId3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39069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168</row>
      <rowOff>0</rowOff>
    </from>
    <to>
      <col>1</col>
      <colOff>180975</colOff>
      <row>168</row>
      <rowOff>142875</rowOff>
    </to>
    <pic>
      <nvPicPr>
        <cNvPr id="168" name="Afbeelding 167" descr="Monaco">
          <a:hlinkClick xmlns:a="http://schemas.openxmlformats.org/drawingml/2006/main" xmlns:r="http://schemas.openxmlformats.org/officeDocument/2006/relationships" tooltip="Monaco" r:id="rId3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4554675"/>
          <a:ext cx="1809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169</row>
      <rowOff>0</rowOff>
    </from>
    <to>
      <col>1</col>
      <colOff>219075</colOff>
      <row>169</row>
      <rowOff>114300</rowOff>
    </to>
    <pic>
      <nvPicPr>
        <cNvPr id="169" name="Afbeelding 168" descr="Mongolia">
          <a:hlinkClick xmlns:a="http://schemas.openxmlformats.org/drawingml/2006/main" xmlns:r="http://schemas.openxmlformats.org/officeDocument/2006/relationships" tooltip="Mongolia" r:id="rId3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52023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170</row>
      <rowOff>0</rowOff>
    </from>
    <to>
      <col>1</col>
      <colOff>219075</colOff>
      <row>170</row>
      <rowOff>114300</rowOff>
    </to>
    <pic>
      <nvPicPr>
        <cNvPr id="170" name="Afbeelding 169" descr="Montenegro">
          <a:hlinkClick xmlns:a="http://schemas.openxmlformats.org/drawingml/2006/main" xmlns:r="http://schemas.openxmlformats.org/officeDocument/2006/relationships" tooltip="Montenegro" r:id="rId32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56881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171</row>
      <rowOff>0</rowOff>
    </from>
    <to>
      <col>1</col>
      <colOff>219075</colOff>
      <row>171</row>
      <rowOff>114300</rowOff>
    </to>
    <pic>
      <nvPicPr>
        <cNvPr id="171" name="Afbeelding 170" descr="Montserrat">
          <a:hlinkClick xmlns:a="http://schemas.openxmlformats.org/drawingml/2006/main" xmlns:r="http://schemas.openxmlformats.org/officeDocument/2006/relationships" tooltip="Montserrat" r:id="rId32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61739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172</row>
      <rowOff>0</rowOff>
    </from>
    <to>
      <col>1</col>
      <colOff>219075</colOff>
      <row>172</row>
      <rowOff>142875</rowOff>
    </to>
    <pic>
      <nvPicPr>
        <cNvPr id="172" name="Afbeelding 171" descr="Morocco">
          <a:hlinkClick xmlns:a="http://schemas.openxmlformats.org/drawingml/2006/main" xmlns:r="http://schemas.openxmlformats.org/officeDocument/2006/relationships" tooltip="Morocco" r:id="rId3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64977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173</row>
      <rowOff>0</rowOff>
    </from>
    <to>
      <col>1</col>
      <colOff>219075</colOff>
      <row>173</row>
      <rowOff>142875</rowOff>
    </to>
    <pic>
      <nvPicPr>
        <cNvPr id="173" name="Afbeelding 172" descr="Mozambique">
          <a:hlinkClick xmlns:a="http://schemas.openxmlformats.org/drawingml/2006/main" xmlns:r="http://schemas.openxmlformats.org/officeDocument/2006/relationships" tooltip="Mozambique" r:id="rId32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71454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174</row>
      <rowOff>0</rowOff>
    </from>
    <to>
      <col>1</col>
      <colOff>219075</colOff>
      <row>174</row>
      <rowOff>142875</rowOff>
    </to>
    <pic>
      <nvPicPr>
        <cNvPr id="174" name="Afbeelding 173" descr="Myanmar">
          <a:hlinkClick xmlns:a="http://schemas.openxmlformats.org/drawingml/2006/main" xmlns:r="http://schemas.openxmlformats.org/officeDocument/2006/relationships" tooltip="Myanmar" r:id="rId8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7955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175</row>
      <rowOff>0</rowOff>
    </from>
    <to>
      <col>1</col>
      <colOff>219075</colOff>
      <row>175</row>
      <rowOff>142875</rowOff>
    </to>
    <pic>
      <nvPicPr>
        <cNvPr id="175" name="Afbeelding 174" descr="Namibia">
          <a:hlinkClick xmlns:a="http://schemas.openxmlformats.org/drawingml/2006/main" xmlns:r="http://schemas.openxmlformats.org/officeDocument/2006/relationships" tooltip="Namibia" r:id="rId3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87647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176</row>
      <rowOff>0</rowOff>
    </from>
    <to>
      <col>1</col>
      <colOff>219075</colOff>
      <row>176</row>
      <rowOff>114300</rowOff>
    </to>
    <pic>
      <nvPicPr>
        <cNvPr id="176" name="Afbeelding 175" descr="Nauru">
          <a:hlinkClick xmlns:a="http://schemas.openxmlformats.org/drawingml/2006/main" xmlns:r="http://schemas.openxmlformats.org/officeDocument/2006/relationships" tooltip="Nauru" r:id="rId33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94124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177</row>
      <rowOff>0</rowOff>
    </from>
    <to>
      <col>1</col>
      <colOff>152400</colOff>
      <row>178</row>
      <rowOff>28575</rowOff>
    </to>
    <pic>
      <nvPicPr>
        <cNvPr id="177" name="Afbeelding 176" descr="Nepal">
          <a:hlinkClick xmlns:a="http://schemas.openxmlformats.org/drawingml/2006/main" xmlns:r="http://schemas.openxmlformats.org/officeDocument/2006/relationships" tooltip="Nepal" r:id="rId33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9898200"/>
          <a:ext cx="152400" cy="190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178</row>
      <rowOff>38100</rowOff>
    </from>
    <to>
      <col>1</col>
      <colOff>219075</colOff>
      <row>179</row>
      <rowOff>19050</rowOff>
    </to>
    <pic>
      <nvPicPr>
        <cNvPr id="178" name="Afbeelding 177" descr="Netherlands">
          <a:hlinkClick xmlns:a="http://schemas.openxmlformats.org/drawingml/2006/main" xmlns:r="http://schemas.openxmlformats.org/officeDocument/2006/relationships" tooltip="Netherlands" r:id="rId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09078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179</row>
      <rowOff>0</rowOff>
    </from>
    <to>
      <col>1</col>
      <colOff>409575</colOff>
      <row>179</row>
      <rowOff>114300</rowOff>
    </to>
    <pic>
      <nvPicPr>
        <cNvPr id="179" name="Afbeelding 178" descr="New Caledonia">
          <a:hlinkClick xmlns:a="http://schemas.openxmlformats.org/drawingml/2006/main" xmlns:r="http://schemas.openxmlformats.org/officeDocument/2006/relationships" tooltip="New Caledonia" r:id="rId33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1679375"/>
          <a:ext cx="4095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180</row>
      <rowOff>0</rowOff>
    </from>
    <to>
      <col>1</col>
      <colOff>219075</colOff>
      <row>180</row>
      <rowOff>114300</rowOff>
    </to>
    <pic>
      <nvPicPr>
        <cNvPr id="180" name="Afbeelding 179" descr="New Zealand">
          <a:hlinkClick xmlns:a="http://schemas.openxmlformats.org/drawingml/2006/main" xmlns:r="http://schemas.openxmlformats.org/officeDocument/2006/relationships" tooltip="New Zealand" r:id="rId3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20032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181</row>
      <rowOff>0</rowOff>
    </from>
    <to>
      <col>1</col>
      <colOff>219075</colOff>
      <row>181</row>
      <rowOff>133350</rowOff>
    </to>
    <pic>
      <nvPicPr>
        <cNvPr id="181" name="Afbeelding 180" descr="Nicaragua">
          <a:hlinkClick xmlns:a="http://schemas.openxmlformats.org/drawingml/2006/main" xmlns:r="http://schemas.openxmlformats.org/officeDocument/2006/relationships" tooltip="Nicaragua" r:id="rId33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24890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182</row>
      <rowOff>0</rowOff>
    </from>
    <to>
      <col>1</col>
      <colOff>171450</colOff>
      <row>182</row>
      <rowOff>142875</rowOff>
    </to>
    <pic>
      <nvPicPr>
        <cNvPr id="182" name="Afbeelding 181" descr="Niger">
          <a:hlinkClick xmlns:a="http://schemas.openxmlformats.org/drawingml/2006/main" xmlns:r="http://schemas.openxmlformats.org/officeDocument/2006/relationships" tooltip="Niger" r:id="rId34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3298625"/>
          <a:ext cx="17145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183</row>
      <rowOff>0</rowOff>
    </from>
    <to>
      <col>1</col>
      <colOff>219075</colOff>
      <row>183</row>
      <rowOff>114300</rowOff>
    </to>
    <pic>
      <nvPicPr>
        <cNvPr id="183" name="Afbeelding 182" descr="Nigeria">
          <a:hlinkClick xmlns:a="http://schemas.openxmlformats.org/drawingml/2006/main" xmlns:r="http://schemas.openxmlformats.org/officeDocument/2006/relationships" tooltip="Nigeria" r:id="rId34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39463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184</row>
      <rowOff>0</rowOff>
    </from>
    <to>
      <col>1</col>
      <colOff>219075</colOff>
      <row>184</row>
      <rowOff>114300</rowOff>
    </to>
    <pic>
      <nvPicPr>
        <cNvPr id="184" name="Afbeelding 183" descr="Niue">
          <a:hlinkClick xmlns:a="http://schemas.openxmlformats.org/drawingml/2006/main" xmlns:r="http://schemas.openxmlformats.org/officeDocument/2006/relationships" tooltip="Niue" r:id="rId34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4594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185</row>
      <rowOff>0</rowOff>
    </from>
    <to>
      <col>1</col>
      <colOff>219075</colOff>
      <row>185</row>
      <rowOff>114300</rowOff>
    </to>
    <pic>
      <nvPicPr>
        <cNvPr id="185" name="Afbeelding 184" descr="Norfolk Island">
          <a:hlinkClick xmlns:a="http://schemas.openxmlformats.org/drawingml/2006/main" xmlns:r="http://schemas.openxmlformats.org/officeDocument/2006/relationships" tooltip="Norfolk Island" r:id="rId3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49178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186</row>
      <rowOff>0</rowOff>
    </from>
    <to>
      <col>1</col>
      <colOff>219075</colOff>
      <row>186</row>
      <rowOff>114300</rowOff>
    </to>
    <pic>
      <nvPicPr>
        <cNvPr id="186" name="Afbeelding 185" descr="North Korea">
          <a:hlinkClick xmlns:a="http://schemas.openxmlformats.org/drawingml/2006/main" xmlns:r="http://schemas.openxmlformats.org/officeDocument/2006/relationships" tooltip="North Korea" r:id="rId1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5565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187</row>
      <rowOff>0</rowOff>
    </from>
    <to>
      <col>1</col>
      <colOff>219075</colOff>
      <row>187</row>
      <rowOff>114300</rowOff>
    </to>
    <pic>
      <nvPicPr>
        <cNvPr id="187" name="Afbeelding 186" descr="Northern Ireland">
          <a:hlinkClick xmlns:a="http://schemas.openxmlformats.org/drawingml/2006/main" xmlns:r="http://schemas.openxmlformats.org/officeDocument/2006/relationships" tooltip="Northern Ireland" r:id="rId3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57275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188</row>
      <rowOff>0</rowOff>
    </from>
    <to>
      <col>1</col>
      <colOff>219075</colOff>
      <row>188</row>
      <rowOff>114300</rowOff>
    </to>
    <pic>
      <nvPicPr>
        <cNvPr id="188" name="Afbeelding 187" descr="Northern Mariana Islands">
          <a:hlinkClick xmlns:a="http://schemas.openxmlformats.org/drawingml/2006/main" xmlns:r="http://schemas.openxmlformats.org/officeDocument/2006/relationships" tooltip="Northern Mariana Islands" r:id="rId3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58894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189</row>
      <rowOff>0</rowOff>
    </from>
    <to>
      <col>1</col>
      <colOff>200025</colOff>
      <row>189</row>
      <rowOff>142875</rowOff>
    </to>
    <pic>
      <nvPicPr>
        <cNvPr id="189" name="Afbeelding 188" descr="Norway">
          <a:hlinkClick xmlns:a="http://schemas.openxmlformats.org/drawingml/2006/main" xmlns:r="http://schemas.openxmlformats.org/officeDocument/2006/relationships" tooltip="Norway" r:id="rId3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702290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190</row>
      <rowOff>0</rowOff>
    </from>
    <to>
      <col>1</col>
      <colOff>219075</colOff>
      <row>190</row>
      <rowOff>114300</rowOff>
    </to>
    <pic>
      <nvPicPr>
        <cNvPr id="190" name="Afbeelding 189" descr="Oman">
          <a:hlinkClick xmlns:a="http://schemas.openxmlformats.org/drawingml/2006/main" xmlns:r="http://schemas.openxmlformats.org/officeDocument/2006/relationships" tooltip="Oman" r:id="rId35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75086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191</row>
      <rowOff>0</rowOff>
    </from>
    <to>
      <col>1</col>
      <colOff>219075</colOff>
      <row>191</row>
      <rowOff>142875</rowOff>
    </to>
    <pic>
      <nvPicPr>
        <cNvPr id="191" name="Afbeelding 190" descr="Pakistan">
          <a:hlinkClick xmlns:a="http://schemas.openxmlformats.org/drawingml/2006/main" xmlns:r="http://schemas.openxmlformats.org/officeDocument/2006/relationships" tooltip="Pakistan" r:id="rId35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79944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192</row>
      <rowOff>0</rowOff>
    </from>
    <to>
      <col>1</col>
      <colOff>219075</colOff>
      <row>192</row>
      <rowOff>133350</rowOff>
    </to>
    <pic>
      <nvPicPr>
        <cNvPr id="192" name="Afbeelding 191" descr="Palau">
          <a:hlinkClick xmlns:a="http://schemas.openxmlformats.org/drawingml/2006/main" xmlns:r="http://schemas.openxmlformats.org/officeDocument/2006/relationships" tooltip="Palau" r:id="rId35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88040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193</row>
      <rowOff>0</rowOff>
    </from>
    <to>
      <col>1</col>
      <colOff>219075</colOff>
      <row>193</row>
      <rowOff>114300</rowOff>
    </to>
    <pic>
      <nvPicPr>
        <cNvPr id="193" name="Afbeelding 192" descr="State of Palestine">
          <a:hlinkClick xmlns:a="http://schemas.openxmlformats.org/drawingml/2006/main" xmlns:r="http://schemas.openxmlformats.org/officeDocument/2006/relationships" tooltip="State of Palestine" r:id="rId36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92898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194</row>
      <rowOff>0</rowOff>
    </from>
    <to>
      <col>1</col>
      <colOff>219075</colOff>
      <row>194</row>
      <rowOff>142875</rowOff>
    </to>
    <pic>
      <nvPicPr>
        <cNvPr id="194" name="Afbeelding 193" descr="Panama">
          <a:hlinkClick xmlns:a="http://schemas.openxmlformats.org/drawingml/2006/main" xmlns:r="http://schemas.openxmlformats.org/officeDocument/2006/relationships" tooltip="Panama" r:id="rId36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97756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195</row>
      <rowOff>0</rowOff>
    </from>
    <to>
      <col>1</col>
      <colOff>190500</colOff>
      <row>195</row>
      <rowOff>142875</rowOff>
    </to>
    <pic>
      <nvPicPr>
        <cNvPr id="195" name="Afbeelding 194" descr="Papua New Guinea">
          <a:hlinkClick xmlns:a="http://schemas.openxmlformats.org/drawingml/2006/main" xmlns:r="http://schemas.openxmlformats.org/officeDocument/2006/relationships" tooltip="Papua New Guinea" r:id="rId36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0423325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196</row>
      <rowOff>0</rowOff>
    </from>
    <to>
      <col>1</col>
      <colOff>219075</colOff>
      <row>196</row>
      <rowOff>123825</rowOff>
    </to>
    <pic>
      <nvPicPr>
        <cNvPr id="196" name="Afbeelding 195" descr="Paraguay">
          <a:hlinkClick xmlns:a="http://schemas.openxmlformats.org/drawingml/2006/main" xmlns:r="http://schemas.openxmlformats.org/officeDocument/2006/relationships" tooltip="Paraguay" r:id="rId36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1394875"/>
          <a:ext cx="21907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197</row>
      <rowOff>0</rowOff>
    </from>
    <to>
      <col>1</col>
      <colOff>219075</colOff>
      <row>197</row>
      <rowOff>142875</rowOff>
    </to>
    <pic>
      <nvPicPr>
        <cNvPr id="197" name="Afbeelding 196" descr="China">
          <a:hlinkClick xmlns:a="http://schemas.openxmlformats.org/drawingml/2006/main" xmlns:r="http://schemas.openxmlformats.org/officeDocument/2006/relationships" tooltip="China" r:id="rId10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2042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198</row>
      <rowOff>0</rowOff>
    </from>
    <to>
      <col>1</col>
      <colOff>219075</colOff>
      <row>198</row>
      <rowOff>142875</rowOff>
    </to>
    <pic>
      <nvPicPr>
        <cNvPr id="198" name="Afbeelding 197" descr="Peru">
          <a:hlinkClick xmlns:a="http://schemas.openxmlformats.org/drawingml/2006/main" xmlns:r="http://schemas.openxmlformats.org/officeDocument/2006/relationships" tooltip="Peru" r:id="rId36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22045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199</row>
      <rowOff>0</rowOff>
    </from>
    <to>
      <col>1</col>
      <colOff>219075</colOff>
      <row>199</row>
      <rowOff>114300</rowOff>
    </to>
    <pic>
      <nvPicPr>
        <cNvPr id="199" name="Afbeelding 198" descr="Philippines">
          <a:hlinkClick xmlns:a="http://schemas.openxmlformats.org/drawingml/2006/main" xmlns:r="http://schemas.openxmlformats.org/officeDocument/2006/relationships" tooltip="Philippines" r:id="rId37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26902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200</row>
      <rowOff>0</rowOff>
    </from>
    <to>
      <col>1</col>
      <colOff>219075</colOff>
      <row>200</row>
      <rowOff>114300</rowOff>
    </to>
    <pic>
      <nvPicPr>
        <cNvPr id="200" name="Afbeelding 199" descr="Pitcairn Islands">
          <a:hlinkClick xmlns:a="http://schemas.openxmlformats.org/drawingml/2006/main" xmlns:r="http://schemas.openxmlformats.org/officeDocument/2006/relationships" tooltip="Pitcairn Islands" r:id="rId37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34999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201</row>
      <rowOff>0</rowOff>
    </from>
    <to>
      <col>1</col>
      <colOff>219075</colOff>
      <row>201</row>
      <rowOff>133350</rowOff>
    </to>
    <pic>
      <nvPicPr>
        <cNvPr id="201" name="Afbeelding 200" descr="Poland">
          <a:hlinkClick xmlns:a="http://schemas.openxmlformats.org/drawingml/2006/main" xmlns:r="http://schemas.openxmlformats.org/officeDocument/2006/relationships" tooltip="Poland" r:id="rId37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447145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202</row>
      <rowOff>0</rowOff>
    </from>
    <to>
      <col>1</col>
      <colOff>219075</colOff>
      <row>202</row>
      <rowOff>142875</rowOff>
    </to>
    <pic>
      <nvPicPr>
        <cNvPr id="202" name="Afbeelding 201" descr="Portugal">
          <a:hlinkClick xmlns:a="http://schemas.openxmlformats.org/drawingml/2006/main" xmlns:r="http://schemas.openxmlformats.org/officeDocument/2006/relationships" tooltip="Portugal" r:id="rId37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49572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203</row>
      <rowOff>0</rowOff>
    </from>
    <to>
      <col>1</col>
      <colOff>219075</colOff>
      <row>203</row>
      <rowOff>142875</rowOff>
    </to>
    <pic>
      <nvPicPr>
        <cNvPr id="203" name="Afbeelding 202" descr="Puerto Rico">
          <a:hlinkClick xmlns:a="http://schemas.openxmlformats.org/drawingml/2006/main" xmlns:r="http://schemas.openxmlformats.org/officeDocument/2006/relationships" tooltip="Puerto Rico" r:id="rId37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56049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204</row>
      <rowOff>0</rowOff>
    </from>
    <to>
      <col>1</col>
      <colOff>219075</colOff>
      <row>204</row>
      <rowOff>85725</rowOff>
    </to>
    <pic>
      <nvPicPr>
        <cNvPr id="204" name="Afbeelding 203" descr="Qatar">
          <a:hlinkClick xmlns:a="http://schemas.openxmlformats.org/drawingml/2006/main" xmlns:r="http://schemas.openxmlformats.org/officeDocument/2006/relationships" tooltip="Qatar" r:id="rId38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6414550"/>
          <a:ext cx="219075" cy="85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205</row>
      <rowOff>0</rowOff>
    </from>
    <to>
      <col>1</col>
      <colOff>219075</colOff>
      <row>205</row>
      <rowOff>142875</rowOff>
    </to>
    <pic>
      <nvPicPr>
        <cNvPr id="205" name="Afbeelding 204" descr="Taiwan">
          <a:hlinkClick xmlns:a="http://schemas.openxmlformats.org/drawingml/2006/main" xmlns:r="http://schemas.openxmlformats.org/officeDocument/2006/relationships" tooltip="Taiwan" r:id="rId1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6900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206</row>
      <rowOff>0</rowOff>
    </from>
    <to>
      <col>1</col>
      <colOff>219075</colOff>
      <row>206</row>
      <rowOff>142875</rowOff>
    </to>
    <pic>
      <nvPicPr>
        <cNvPr id="206" name="Afbeelding 205" descr="South Korea">
          <a:hlinkClick xmlns:a="http://schemas.openxmlformats.org/drawingml/2006/main" xmlns:r="http://schemas.openxmlformats.org/officeDocument/2006/relationships" tooltip="South Korea" r:id="rId2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70622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207</row>
      <rowOff>0</rowOff>
    </from>
    <to>
      <col>1</col>
      <colOff>219075</colOff>
      <row>207</row>
      <rowOff>142875</rowOff>
    </to>
    <pic>
      <nvPicPr>
        <cNvPr id="207" name="Afbeelding 206" descr="Republic of the Congo">
          <a:hlinkClick xmlns:a="http://schemas.openxmlformats.org/drawingml/2006/main" xmlns:r="http://schemas.openxmlformats.org/officeDocument/2006/relationships" tooltip="Republic of the Congo" r:id="rId1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72241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208</row>
      <rowOff>0</rowOff>
    </from>
    <to>
      <col>1</col>
      <colOff>219075</colOff>
      <row>208</row>
      <rowOff>142875</rowOff>
    </to>
    <pic>
      <nvPicPr>
        <cNvPr id="208" name="Afbeelding 207" descr="Réunion">
          <a:hlinkClick xmlns:a="http://schemas.openxmlformats.org/drawingml/2006/main" xmlns:r="http://schemas.openxmlformats.org/officeDocument/2006/relationships" tooltip="Réunion" r:id="rId38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7386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209</row>
      <rowOff>0</rowOff>
    </from>
    <to>
      <col>1</col>
      <colOff>219075</colOff>
      <row>209</row>
      <rowOff>142875</rowOff>
    </to>
    <pic>
      <nvPicPr>
        <cNvPr id="209" name="Afbeelding 208" descr="Romania">
          <a:hlinkClick xmlns:a="http://schemas.openxmlformats.org/drawingml/2006/main" xmlns:r="http://schemas.openxmlformats.org/officeDocument/2006/relationships" tooltip="Romania" r:id="rId38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77099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210</row>
      <rowOff>0</rowOff>
    </from>
    <to>
      <col>1</col>
      <colOff>219075</colOff>
      <row>210</row>
      <rowOff>142875</rowOff>
    </to>
    <pic>
      <nvPicPr>
        <cNvPr id="210" name="Afbeelding 209" descr="Russia">
          <a:hlinkClick xmlns:a="http://schemas.openxmlformats.org/drawingml/2006/main" xmlns:r="http://schemas.openxmlformats.org/officeDocument/2006/relationships" tooltip="Russia" r:id="rId38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81957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211</row>
      <rowOff>0</rowOff>
    </from>
    <to>
      <col>1</col>
      <colOff>219075</colOff>
      <row>211</row>
      <rowOff>142875</rowOff>
    </to>
    <pic>
      <nvPicPr>
        <cNvPr id="211" name="Afbeelding 210" descr="Rwanda">
          <a:hlinkClick xmlns:a="http://schemas.openxmlformats.org/drawingml/2006/main" xmlns:r="http://schemas.openxmlformats.org/officeDocument/2006/relationships" tooltip="Rwanda" r:id="rId38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8843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212</row>
      <rowOff>0</rowOff>
    </from>
    <to>
      <col>1</col>
      <colOff>219075</colOff>
      <row>212</row>
      <rowOff>142875</rowOff>
    </to>
    <pic>
      <nvPicPr>
        <cNvPr id="212" name="Afbeelding 211" descr="Saba">
          <a:hlinkClick xmlns:a="http://schemas.openxmlformats.org/drawingml/2006/main" xmlns:r="http://schemas.openxmlformats.org/officeDocument/2006/relationships" tooltip="Saba" r:id="rId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94911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213</row>
      <rowOff>0</rowOff>
    </from>
    <to>
      <col>1</col>
      <colOff>219075</colOff>
      <row>213</row>
      <rowOff>114300</rowOff>
    </to>
    <pic>
      <nvPicPr>
        <cNvPr id="213" name="Afbeelding 212" descr="Sahrawi Arab Democratic Republic">
          <a:hlinkClick xmlns:a="http://schemas.openxmlformats.org/drawingml/2006/main" xmlns:r="http://schemas.openxmlformats.org/officeDocument/2006/relationships" tooltip="Sahrawi Arab Democratic Republic" r:id="rId39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96530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214</row>
      <rowOff>0</rowOff>
    </from>
    <to>
      <col>1</col>
      <colOff>219075</colOff>
      <row>214</row>
      <rowOff>142875</rowOff>
    </to>
    <pic>
      <nvPicPr>
        <cNvPr id="214" name="Afbeelding 213" descr="Saint Barthélemy">
          <a:hlinkClick xmlns:a="http://schemas.openxmlformats.org/drawingml/2006/main" xmlns:r="http://schemas.openxmlformats.org/officeDocument/2006/relationships" tooltip="Saint Barthélemy" r:id="rId39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98149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215</row>
      <rowOff>0</rowOff>
    </from>
    <to>
      <col>1</col>
      <colOff>219075</colOff>
      <row>215</row>
      <rowOff>114300</rowOff>
    </to>
    <pic>
      <nvPicPr>
        <cNvPr id="215" name="Afbeelding 214" descr="Saint Helena">
          <a:hlinkClick xmlns:a="http://schemas.openxmlformats.org/drawingml/2006/main" xmlns:r="http://schemas.openxmlformats.org/officeDocument/2006/relationships" tooltip="Saint Helena" r:id="rId39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0624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216</row>
      <rowOff>0</rowOff>
    </from>
    <to>
      <col>1</col>
      <colOff>219075</colOff>
      <row>216</row>
      <rowOff>114300</rowOff>
    </to>
    <pic>
      <nvPicPr>
        <cNvPr id="216" name="Afbeelding 215" descr="Ascension Island">
          <a:hlinkClick xmlns:a="http://schemas.openxmlformats.org/drawingml/2006/main" xmlns:r="http://schemas.openxmlformats.org/officeDocument/2006/relationships" tooltip="Ascension Island" r:id="rId39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09484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217</row>
      <rowOff>0</rowOff>
    </from>
    <to>
      <col>1</col>
      <colOff>219075</colOff>
      <row>217</row>
      <rowOff>114300</rowOff>
    </to>
    <pic>
      <nvPicPr>
        <cNvPr id="217" name="Afbeelding 216" descr="Tristan da Cunha">
          <a:hlinkClick xmlns:a="http://schemas.openxmlformats.org/drawingml/2006/main" xmlns:r="http://schemas.openxmlformats.org/officeDocument/2006/relationships" tooltip="Tristan da Cunha" r:id="rId39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12723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218</row>
      <rowOff>0</rowOff>
    </from>
    <to>
      <col>1</col>
      <colOff>219075</colOff>
      <row>218</row>
      <rowOff>142875</rowOff>
    </to>
    <pic>
      <nvPicPr>
        <cNvPr id="218" name="Afbeelding 217" descr="Saint Kitts and Nevis">
          <a:hlinkClick xmlns:a="http://schemas.openxmlformats.org/drawingml/2006/main" xmlns:r="http://schemas.openxmlformats.org/officeDocument/2006/relationships" tooltip="Saint Kitts and Nevis" r:id="rId40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15961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219</row>
      <rowOff>0</rowOff>
    </from>
    <to>
      <col>1</col>
      <colOff>219075</colOff>
      <row>219</row>
      <rowOff>114300</rowOff>
    </to>
    <pic>
      <nvPicPr>
        <cNvPr id="219" name="Afbeelding 218" descr="Saint Lucia">
          <a:hlinkClick xmlns:a="http://schemas.openxmlformats.org/drawingml/2006/main" xmlns:r="http://schemas.openxmlformats.org/officeDocument/2006/relationships" tooltip="Saint Lucia" r:id="rId40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20819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220</row>
      <rowOff>0</rowOff>
    </from>
    <to>
      <col>1</col>
      <colOff>219075</colOff>
      <row>220</row>
      <rowOff>142875</rowOff>
    </to>
    <pic>
      <nvPicPr>
        <cNvPr id="220" name="Afbeelding 219" descr="Collectivity of Saint Martin">
          <a:hlinkClick xmlns:a="http://schemas.openxmlformats.org/drawingml/2006/main" xmlns:r="http://schemas.openxmlformats.org/officeDocument/2006/relationships" tooltip="Collectivity of Saint Martin" r:id="rId40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25677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221</row>
      <rowOff>0</rowOff>
    </from>
    <to>
      <col>1</col>
      <colOff>219075</colOff>
      <row>221</row>
      <rowOff>142875</rowOff>
    </to>
    <pic>
      <nvPicPr>
        <cNvPr id="221" name="Afbeelding 220" descr="Saint Pierre and Miquelon">
          <a:hlinkClick xmlns:a="http://schemas.openxmlformats.org/drawingml/2006/main" xmlns:r="http://schemas.openxmlformats.org/officeDocument/2006/relationships" tooltip="Saint Pierre and Miquelon" r:id="rId4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32154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222</row>
      <rowOff>0</rowOff>
    </from>
    <to>
      <col>1</col>
      <colOff>219075</colOff>
      <row>222</row>
      <rowOff>142875</rowOff>
    </to>
    <pic>
      <nvPicPr>
        <cNvPr id="222" name="Afbeelding 221" descr="Saint Vincent and the Grenadines">
          <a:hlinkClick xmlns:a="http://schemas.openxmlformats.org/drawingml/2006/main" xmlns:r="http://schemas.openxmlformats.org/officeDocument/2006/relationships" tooltip="Saint Vincent and the Grenadines" r:id="rId40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43488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223</row>
      <rowOff>0</rowOff>
    </from>
    <to>
      <col>1</col>
      <colOff>219075</colOff>
      <row>223</row>
      <rowOff>114300</rowOff>
    </to>
    <pic>
      <nvPicPr>
        <cNvPr id="223" name="Afbeelding 222" descr="Samoa">
          <a:hlinkClick xmlns:a="http://schemas.openxmlformats.org/drawingml/2006/main" xmlns:r="http://schemas.openxmlformats.org/officeDocument/2006/relationships" tooltip="Samoa" r:id="rId4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51585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224</row>
      <rowOff>0</rowOff>
    </from>
    <to>
      <col>1</col>
      <colOff>190500</colOff>
      <row>224</row>
      <rowOff>142875</rowOff>
    </to>
    <pic>
      <nvPicPr>
        <cNvPr id="224" name="Afbeelding 223" descr="San Marino">
          <a:hlinkClick xmlns:a="http://schemas.openxmlformats.org/drawingml/2006/main" xmlns:r="http://schemas.openxmlformats.org/officeDocument/2006/relationships" tooltip="San Marino" r:id="rId4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5806200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225</row>
      <rowOff>0</rowOff>
    </from>
    <to>
      <col>1</col>
      <colOff>219075</colOff>
      <row>225</row>
      <rowOff>114300</rowOff>
    </to>
    <pic>
      <nvPicPr>
        <cNvPr id="225" name="Afbeelding 224" descr="São Tomé and Príncipe">
          <a:hlinkClick xmlns:a="http://schemas.openxmlformats.org/drawingml/2006/main" xmlns:r="http://schemas.openxmlformats.org/officeDocument/2006/relationships" tooltip="São Tomé and Príncipe" r:id="rId4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64539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226</row>
      <rowOff>0</rowOff>
    </from>
    <to>
      <col>1</col>
      <colOff>219075</colOff>
      <row>226</row>
      <rowOff>142875</rowOff>
    </to>
    <pic>
      <nvPicPr>
        <cNvPr id="226" name="Afbeelding 225" descr="Saudi Arabia">
          <a:hlinkClick xmlns:a="http://schemas.openxmlformats.org/drawingml/2006/main" xmlns:r="http://schemas.openxmlformats.org/officeDocument/2006/relationships" tooltip="Saudi Arabia" r:id="rId4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7587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227</row>
      <rowOff>0</rowOff>
    </from>
    <to>
      <col>1</col>
      <colOff>219075</colOff>
      <row>227</row>
      <rowOff>133350</rowOff>
    </to>
    <pic>
      <nvPicPr>
        <cNvPr id="227" name="Afbeelding 226" descr="Scotland">
          <a:hlinkClick xmlns:a="http://schemas.openxmlformats.org/drawingml/2006/main" xmlns:r="http://schemas.openxmlformats.org/officeDocument/2006/relationships" tooltip="Scotland" r:id="rId4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82350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228</row>
      <rowOff>0</rowOff>
    </from>
    <to>
      <col>1</col>
      <colOff>219075</colOff>
      <row>228</row>
      <rowOff>142875</rowOff>
    </to>
    <pic>
      <nvPicPr>
        <cNvPr id="228" name="Afbeelding 227" descr="Senegal">
          <a:hlinkClick xmlns:a="http://schemas.openxmlformats.org/drawingml/2006/main" xmlns:r="http://schemas.openxmlformats.org/officeDocument/2006/relationships" tooltip="Senegal" r:id="rId4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83970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229</row>
      <rowOff>0</rowOff>
    </from>
    <to>
      <col>1</col>
      <colOff>219075</colOff>
      <row>229</row>
      <rowOff>142875</rowOff>
    </to>
    <pic>
      <nvPicPr>
        <cNvPr id="229" name="Afbeelding 228" descr="Serbia">
          <a:hlinkClick xmlns:a="http://schemas.openxmlformats.org/drawingml/2006/main" xmlns:r="http://schemas.openxmlformats.org/officeDocument/2006/relationships" tooltip="Serbia" r:id="rId42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90447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230</row>
      <rowOff>0</rowOff>
    </from>
    <to>
      <col>1</col>
      <colOff>219075</colOff>
      <row>230</row>
      <rowOff>114300</rowOff>
    </to>
    <pic>
      <nvPicPr>
        <cNvPr id="230" name="Afbeelding 229" descr="Seychelles">
          <a:hlinkClick xmlns:a="http://schemas.openxmlformats.org/drawingml/2006/main" xmlns:r="http://schemas.openxmlformats.org/officeDocument/2006/relationships" tooltip="Seychelles" r:id="rId42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95304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231</row>
      <rowOff>0</rowOff>
    </from>
    <to>
      <col>1</col>
      <colOff>219075</colOff>
      <row>231</row>
      <rowOff>142875</rowOff>
    </to>
    <pic>
      <nvPicPr>
        <cNvPr id="231" name="Afbeelding 230" descr="Sierra Leone">
          <a:hlinkClick xmlns:a="http://schemas.openxmlformats.org/drawingml/2006/main" xmlns:r="http://schemas.openxmlformats.org/officeDocument/2006/relationships" tooltip="Sierra Leone" r:id="rId4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0340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232</row>
      <rowOff>0</rowOff>
    </from>
    <to>
      <col>1</col>
      <colOff>219075</colOff>
      <row>232</row>
      <rowOff>142875</rowOff>
    </to>
    <pic>
      <nvPicPr>
        <cNvPr id="232" name="Afbeelding 231" descr="Singapore">
          <a:hlinkClick xmlns:a="http://schemas.openxmlformats.org/drawingml/2006/main" xmlns:r="http://schemas.openxmlformats.org/officeDocument/2006/relationships" tooltip="Singapore" r:id="rId42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09878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233</row>
      <rowOff>0</rowOff>
    </from>
    <to>
      <col>1</col>
      <colOff>219075</colOff>
      <row>233</row>
      <rowOff>142875</rowOff>
    </to>
    <pic>
      <nvPicPr>
        <cNvPr id="233" name="Afbeelding 232" descr="Sint Eustatius">
          <a:hlinkClick xmlns:a="http://schemas.openxmlformats.org/drawingml/2006/main" xmlns:r="http://schemas.openxmlformats.org/officeDocument/2006/relationships" tooltip="Sint Eustatius" r:id="rId5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1797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234</row>
      <rowOff>0</rowOff>
    </from>
    <to>
      <col>1</col>
      <colOff>219075</colOff>
      <row>234</row>
      <rowOff>142875</rowOff>
    </to>
    <pic>
      <nvPicPr>
        <cNvPr id="234" name="Afbeelding 233" descr="Sint Maarten">
          <a:hlinkClick xmlns:a="http://schemas.openxmlformats.org/drawingml/2006/main" xmlns:r="http://schemas.openxmlformats.org/officeDocument/2006/relationships" tooltip="Sint Maarten" r:id="rId4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19593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235</row>
      <rowOff>0</rowOff>
    </from>
    <to>
      <col>1</col>
      <colOff>219075</colOff>
      <row>235</row>
      <rowOff>142875</rowOff>
    </to>
    <pic>
      <nvPicPr>
        <cNvPr id="235" name="Afbeelding 234" descr="Slovakia">
          <a:hlinkClick xmlns:a="http://schemas.openxmlformats.org/drawingml/2006/main" xmlns:r="http://schemas.openxmlformats.org/officeDocument/2006/relationships" tooltip="Slovakia" r:id="rId43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26070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236</row>
      <rowOff>0</rowOff>
    </from>
    <to>
      <col>1</col>
      <colOff>219075</colOff>
      <row>236</row>
      <rowOff>114300</rowOff>
    </to>
    <pic>
      <nvPicPr>
        <cNvPr id="236" name="Afbeelding 235" descr="Slovenia">
          <a:hlinkClick xmlns:a="http://schemas.openxmlformats.org/drawingml/2006/main" xmlns:r="http://schemas.openxmlformats.org/officeDocument/2006/relationships" tooltip="Slovenia" r:id="rId43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30928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237</row>
      <rowOff>0</rowOff>
    </from>
    <to>
      <col>1</col>
      <colOff>219075</colOff>
      <row>237</row>
      <rowOff>114300</rowOff>
    </to>
    <pic>
      <nvPicPr>
        <cNvPr id="237" name="Afbeelding 236" descr="Solomon Islands">
          <a:hlinkClick xmlns:a="http://schemas.openxmlformats.org/drawingml/2006/main" xmlns:r="http://schemas.openxmlformats.org/officeDocument/2006/relationships" tooltip="Solomon Islands" r:id="rId43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37405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238</row>
      <rowOff>0</rowOff>
    </from>
    <to>
      <col>1</col>
      <colOff>219075</colOff>
      <row>238</row>
      <rowOff>142875</rowOff>
    </to>
    <pic>
      <nvPicPr>
        <cNvPr id="238" name="Afbeelding 237" descr="Somalia">
          <a:hlinkClick xmlns:a="http://schemas.openxmlformats.org/drawingml/2006/main" xmlns:r="http://schemas.openxmlformats.org/officeDocument/2006/relationships" tooltip="Somalia" r:id="rId4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4226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239</row>
      <rowOff>0</rowOff>
    </from>
    <to>
      <col>1</col>
      <colOff>219075</colOff>
      <row>239</row>
      <rowOff>142875</rowOff>
    </to>
    <pic>
      <nvPicPr>
        <cNvPr id="239" name="Afbeelding 238" descr="South Africa">
          <a:hlinkClick xmlns:a="http://schemas.openxmlformats.org/drawingml/2006/main" xmlns:r="http://schemas.openxmlformats.org/officeDocument/2006/relationships" tooltip="South Africa" r:id="rId43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50359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240</row>
      <rowOff>0</rowOff>
    </from>
    <to>
      <col>1</col>
      <colOff>219075</colOff>
      <row>240</row>
      <rowOff>114300</rowOff>
    </to>
    <pic>
      <nvPicPr>
        <cNvPr id="240" name="Afbeelding 239" descr="South Georgia and the South Sandwich Islands">
          <a:hlinkClick xmlns:a="http://schemas.openxmlformats.org/drawingml/2006/main" xmlns:r="http://schemas.openxmlformats.org/officeDocument/2006/relationships" tooltip="South Georgia and the South Sandwich Islands" r:id="rId44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5683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241</row>
      <rowOff>0</rowOff>
    </from>
    <to>
      <col>1</col>
      <colOff>219075</colOff>
      <row>241</row>
      <rowOff>142875</rowOff>
    </to>
    <pic>
      <nvPicPr>
        <cNvPr id="241" name="Afbeelding 240" descr="South Korea">
          <a:hlinkClick xmlns:a="http://schemas.openxmlformats.org/drawingml/2006/main" xmlns:r="http://schemas.openxmlformats.org/officeDocument/2006/relationships" tooltip="South Korea" r:id="rId2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66551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242</row>
      <rowOff>0</rowOff>
    </from>
    <to>
      <col>1</col>
      <colOff>219075</colOff>
      <row>242</row>
      <rowOff>114300</rowOff>
    </to>
    <pic>
      <nvPicPr>
        <cNvPr id="242" name="Afbeelding 241" descr="South Sudan">
          <a:hlinkClick xmlns:a="http://schemas.openxmlformats.org/drawingml/2006/main" xmlns:r="http://schemas.openxmlformats.org/officeDocument/2006/relationships" tooltip="South Sudan" r:id="rId44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68171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243</row>
      <rowOff>0</rowOff>
    </from>
    <to>
      <col>1</col>
      <colOff>219075</colOff>
      <row>243</row>
      <rowOff>142875</rowOff>
    </to>
    <pic>
      <nvPicPr>
        <cNvPr id="243" name="Afbeelding 242" descr="Spain">
          <a:hlinkClick xmlns:a="http://schemas.openxmlformats.org/drawingml/2006/main" xmlns:r="http://schemas.openxmlformats.org/officeDocument/2006/relationships" tooltip="Spain" r:id="rId44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74648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244</row>
      <rowOff>0</rowOff>
    </from>
    <to>
      <col>1</col>
      <colOff>219075</colOff>
      <row>244</row>
      <rowOff>114300</rowOff>
    </to>
    <pic>
      <nvPicPr>
        <cNvPr id="244" name="Afbeelding 243" descr="Sri Lanka">
          <a:hlinkClick xmlns:a="http://schemas.openxmlformats.org/drawingml/2006/main" xmlns:r="http://schemas.openxmlformats.org/officeDocument/2006/relationships" tooltip="Sri Lanka" r:id="rId4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7950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245</row>
      <rowOff>0</rowOff>
    </from>
    <to>
      <col>1</col>
      <colOff>219075</colOff>
      <row>245</row>
      <rowOff>114300</rowOff>
    </to>
    <pic>
      <nvPicPr>
        <cNvPr id="245" name="Afbeelding 244" descr="Sudan">
          <a:hlinkClick xmlns:a="http://schemas.openxmlformats.org/drawingml/2006/main" xmlns:r="http://schemas.openxmlformats.org/officeDocument/2006/relationships" tooltip="Sudan" r:id="rId4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90840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246</row>
      <rowOff>0</rowOff>
    </from>
    <to>
      <col>1</col>
      <colOff>219075</colOff>
      <row>246</row>
      <rowOff>142875</rowOff>
    </to>
    <pic>
      <nvPicPr>
        <cNvPr id="246" name="Afbeelding 245" descr="Suriname">
          <a:hlinkClick xmlns:a="http://schemas.openxmlformats.org/drawingml/2006/main" xmlns:r="http://schemas.openxmlformats.org/officeDocument/2006/relationships" tooltip="Suriname" r:id="rId4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97317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247</row>
      <rowOff>0</rowOff>
    </from>
    <to>
      <col>1</col>
      <colOff>200025</colOff>
      <row>247</row>
      <rowOff>142875</rowOff>
    </to>
    <pic>
      <nvPicPr>
        <cNvPr id="247" name="Afbeelding 246" descr="Svalbard">
          <a:hlinkClick xmlns:a="http://schemas.openxmlformats.org/drawingml/2006/main" xmlns:r="http://schemas.openxmlformats.org/officeDocument/2006/relationships" tooltip="Svalbard" r:id="rId4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037945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248</row>
      <rowOff>0</rowOff>
    </from>
    <to>
      <col>1</col>
      <colOff>200025</colOff>
      <row>248</row>
      <rowOff>142875</rowOff>
    </to>
    <pic>
      <nvPicPr>
        <cNvPr id="248" name="Afbeelding 247" descr="Jan Mayen">
          <a:hlinkClick xmlns:a="http://schemas.openxmlformats.org/drawingml/2006/main" xmlns:r="http://schemas.openxmlformats.org/officeDocument/2006/relationships" tooltip="Jan Mayen" r:id="rId24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0541375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249</row>
      <rowOff>0</rowOff>
    </from>
    <to>
      <col>1</col>
      <colOff>219075</colOff>
      <row>249</row>
      <rowOff>133350</rowOff>
    </to>
    <pic>
      <nvPicPr>
        <cNvPr id="249" name="Afbeelding 248" descr="Sweden">
          <a:hlinkClick xmlns:a="http://schemas.openxmlformats.org/drawingml/2006/main" xmlns:r="http://schemas.openxmlformats.org/officeDocument/2006/relationships" tooltip="Sweden" r:id="rId45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086522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250</row>
      <rowOff>0</rowOff>
    </from>
    <to>
      <col>1</col>
      <colOff>152400</colOff>
      <row>250</row>
      <rowOff>152400</rowOff>
    </to>
    <pic>
      <nvPicPr>
        <cNvPr id="250" name="Afbeelding 249" descr="Switzerland">
          <a:hlinkClick xmlns:a="http://schemas.openxmlformats.org/drawingml/2006/main" xmlns:r="http://schemas.openxmlformats.org/officeDocument/2006/relationships" tooltip="Switzerland" r:id="rId45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1512925"/>
          <a:ext cx="152400" cy="152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251</row>
      <rowOff>0</rowOff>
    </from>
    <to>
      <col>1</col>
      <colOff>219075</colOff>
      <row>251</row>
      <rowOff>142875</rowOff>
    </to>
    <pic>
      <nvPicPr>
        <cNvPr id="251" name="Afbeelding 250" descr="Syria">
          <a:hlinkClick xmlns:a="http://schemas.openxmlformats.org/drawingml/2006/main" xmlns:r="http://schemas.openxmlformats.org/officeDocument/2006/relationships" tooltip="Syria" r:id="rId45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21606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252</row>
      <rowOff>0</rowOff>
    </from>
    <to>
      <col>1</col>
      <colOff>219075</colOff>
      <row>252</row>
      <rowOff>142875</rowOff>
    </to>
    <pic>
      <nvPicPr>
        <cNvPr id="252" name="Afbeelding 251" descr="Taiwan">
          <a:hlinkClick xmlns:a="http://schemas.openxmlformats.org/drawingml/2006/main" xmlns:r="http://schemas.openxmlformats.org/officeDocument/2006/relationships" tooltip="Taiwan" r:id="rId1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2827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253</row>
      <rowOff>0</rowOff>
    </from>
    <to>
      <col>1</col>
      <colOff>219075</colOff>
      <row>253</row>
      <rowOff>114300</rowOff>
    </to>
    <pic>
      <nvPicPr>
        <cNvPr id="253" name="Afbeelding 252" descr="Tajikistan">
          <a:hlinkClick xmlns:a="http://schemas.openxmlformats.org/drawingml/2006/main" xmlns:r="http://schemas.openxmlformats.org/officeDocument/2006/relationships" tooltip="Tajikistan" r:id="rId46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34941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254</row>
      <rowOff>0</rowOff>
    </from>
    <to>
      <col>1</col>
      <colOff>219075</colOff>
      <row>254</row>
      <rowOff>142875</rowOff>
    </to>
    <pic>
      <nvPicPr>
        <cNvPr id="254" name="Afbeelding 253" descr="Tanzania">
          <a:hlinkClick xmlns:a="http://schemas.openxmlformats.org/drawingml/2006/main" xmlns:r="http://schemas.openxmlformats.org/officeDocument/2006/relationships" tooltip="Tanzania" r:id="rId46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41418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255</row>
      <rowOff>0</rowOff>
    </from>
    <to>
      <col>1</col>
      <colOff>219075</colOff>
      <row>255</row>
      <rowOff>142875</rowOff>
    </to>
    <pic>
      <nvPicPr>
        <cNvPr id="255" name="Afbeelding 254" descr="Thailand">
          <a:hlinkClick xmlns:a="http://schemas.openxmlformats.org/drawingml/2006/main" xmlns:r="http://schemas.openxmlformats.org/officeDocument/2006/relationships" tooltip="Thailand" r:id="rId46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49514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256</row>
      <rowOff>0</rowOff>
    </from>
    <to>
      <col>1</col>
      <colOff>219075</colOff>
      <row>256</row>
      <rowOff>114300</rowOff>
    </to>
    <pic>
      <nvPicPr>
        <cNvPr id="256" name="Afbeelding 255" descr="East Timor">
          <a:hlinkClick xmlns:a="http://schemas.openxmlformats.org/drawingml/2006/main" xmlns:r="http://schemas.openxmlformats.org/officeDocument/2006/relationships" tooltip="East Timor" r:id="rId1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55991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257</row>
      <rowOff>0</rowOff>
    </from>
    <to>
      <col>1</col>
      <colOff>219075</colOff>
      <row>257</row>
      <rowOff>133350</rowOff>
    </to>
    <pic>
      <nvPicPr>
        <cNvPr id="257" name="Afbeelding 256" descr="Togo">
          <a:hlinkClick xmlns:a="http://schemas.openxmlformats.org/drawingml/2006/main" xmlns:r="http://schemas.openxmlformats.org/officeDocument/2006/relationships" tooltip="Togo" r:id="rId46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65707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258</row>
      <rowOff>0</rowOff>
    </from>
    <to>
      <col>1</col>
      <colOff>219075</colOff>
      <row>258</row>
      <rowOff>114300</rowOff>
    </to>
    <pic>
      <nvPicPr>
        <cNvPr id="258" name="Afbeelding 257" descr="Tokelau">
          <a:hlinkClick xmlns:a="http://schemas.openxmlformats.org/drawingml/2006/main" xmlns:r="http://schemas.openxmlformats.org/officeDocument/2006/relationships" tooltip="Tokelau" r:id="rId46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70564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259</row>
      <rowOff>0</rowOff>
    </from>
    <to>
      <col>1</col>
      <colOff>219075</colOff>
      <row>259</row>
      <rowOff>114300</rowOff>
    </to>
    <pic>
      <nvPicPr>
        <cNvPr id="259" name="Afbeelding 258" descr="Tonga">
          <a:hlinkClick xmlns:a="http://schemas.openxmlformats.org/drawingml/2006/main" xmlns:r="http://schemas.openxmlformats.org/officeDocument/2006/relationships" tooltip="Tonga" r:id="rId47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73803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260</row>
      <rowOff>0</rowOff>
    </from>
    <to>
      <col>1</col>
      <colOff>219075</colOff>
      <row>260</row>
      <rowOff>133350</rowOff>
    </to>
    <pic>
      <nvPicPr>
        <cNvPr id="260" name="Afbeelding 259" descr="Trinidad and Tobago">
          <a:hlinkClick xmlns:a="http://schemas.openxmlformats.org/drawingml/2006/main" xmlns:r="http://schemas.openxmlformats.org/officeDocument/2006/relationships" tooltip="Trinidad and Tobago" r:id="rId47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78661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261</row>
      <rowOff>0</rowOff>
    </from>
    <to>
      <col>1</col>
      <colOff>219075</colOff>
      <row>261</row>
      <rowOff>142875</rowOff>
    </to>
    <pic>
      <nvPicPr>
        <cNvPr id="261" name="Afbeelding 260" descr="Tunisia">
          <a:hlinkClick xmlns:a="http://schemas.openxmlformats.org/drawingml/2006/main" xmlns:r="http://schemas.openxmlformats.org/officeDocument/2006/relationships" tooltip="Tunisia" r:id="rId47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88376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262</row>
      <rowOff>0</rowOff>
    </from>
    <to>
      <col>1</col>
      <colOff>219075</colOff>
      <row>262</row>
      <rowOff>142875</rowOff>
    </to>
    <pic>
      <nvPicPr>
        <cNvPr id="262" name="Afbeelding 261" descr="Turkey">
          <a:hlinkClick xmlns:a="http://schemas.openxmlformats.org/drawingml/2006/main" xmlns:r="http://schemas.openxmlformats.org/officeDocument/2006/relationships" tooltip="Turkey" r:id="rId47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9323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263</row>
      <rowOff>0</rowOff>
    </from>
    <to>
      <col>1</col>
      <colOff>219075</colOff>
      <row>263</row>
      <rowOff>142875</rowOff>
    </to>
    <pic>
      <nvPicPr>
        <cNvPr id="263" name="Afbeelding 262" descr="Turkmenistan">
          <a:hlinkClick xmlns:a="http://schemas.openxmlformats.org/drawingml/2006/main" xmlns:r="http://schemas.openxmlformats.org/officeDocument/2006/relationships" tooltip="Turkmenistan" r:id="rId47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98092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264</row>
      <rowOff>0</rowOff>
    </from>
    <to>
      <col>1</col>
      <colOff>219075</colOff>
      <row>264</row>
      <rowOff>114300</rowOff>
    </to>
    <pic>
      <nvPicPr>
        <cNvPr id="264" name="Afbeelding 263" descr="Turks and Caicos Islands">
          <a:hlinkClick xmlns:a="http://schemas.openxmlformats.org/drawingml/2006/main" xmlns:r="http://schemas.openxmlformats.org/officeDocument/2006/relationships" tooltip="Turks and Caicos Islands" r:id="rId48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02949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265</row>
      <rowOff>0</rowOff>
    </from>
    <to>
      <col>1</col>
      <colOff>219075</colOff>
      <row>265</row>
      <rowOff>114300</rowOff>
    </to>
    <pic>
      <nvPicPr>
        <cNvPr id="265" name="Afbeelding 264" descr="Tuvalu">
          <a:hlinkClick xmlns:a="http://schemas.openxmlformats.org/drawingml/2006/main" xmlns:r="http://schemas.openxmlformats.org/officeDocument/2006/relationships" tooltip="Tuvalu" r:id="rId48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1104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266</row>
      <rowOff>0</rowOff>
    </from>
    <to>
      <col>1</col>
      <colOff>219075</colOff>
      <row>266</row>
      <rowOff>142875</rowOff>
    </to>
    <pic>
      <nvPicPr>
        <cNvPr id="266" name="Afbeelding 265" descr="Uganda">
          <a:hlinkClick xmlns:a="http://schemas.openxmlformats.org/drawingml/2006/main" xmlns:r="http://schemas.openxmlformats.org/officeDocument/2006/relationships" tooltip="Uganda" r:id="rId48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1590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267</row>
      <rowOff>0</rowOff>
    </from>
    <to>
      <col>1</col>
      <colOff>219075</colOff>
      <row>267</row>
      <rowOff>142875</rowOff>
    </to>
    <pic>
      <nvPicPr>
        <cNvPr id="267" name="Afbeelding 266" descr="Ukraine">
          <a:hlinkClick xmlns:a="http://schemas.openxmlformats.org/drawingml/2006/main" xmlns:r="http://schemas.openxmlformats.org/officeDocument/2006/relationships" tooltip="Ukraine" r:id="rId48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22380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268</row>
      <rowOff>0</rowOff>
    </from>
    <to>
      <col>1</col>
      <colOff>219075</colOff>
      <row>268</row>
      <rowOff>114300</rowOff>
    </to>
    <pic>
      <nvPicPr>
        <cNvPr id="268" name="Afbeelding 267" descr="United Arab Emirates">
          <a:hlinkClick xmlns:a="http://schemas.openxmlformats.org/drawingml/2006/main" xmlns:r="http://schemas.openxmlformats.org/officeDocument/2006/relationships" tooltip="United Arab Emirates" r:id="rId48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27238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269</row>
      <rowOff>0</rowOff>
    </from>
    <to>
      <col>1</col>
      <colOff>219075</colOff>
      <row>269</row>
      <rowOff>114300</rowOff>
    </to>
    <pic>
      <nvPicPr>
        <cNvPr id="269" name="Afbeelding 268" descr="United Kingdom">
          <a:hlinkClick xmlns:a="http://schemas.openxmlformats.org/drawingml/2006/main" xmlns:r="http://schemas.openxmlformats.org/officeDocument/2006/relationships" tooltip="United Kingdom" r:id="rId1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33715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270</row>
      <rowOff>0</rowOff>
    </from>
    <to>
      <col>1</col>
      <colOff>219075</colOff>
      <row>270</row>
      <rowOff>114300</rowOff>
    </to>
    <pic>
      <nvPicPr>
        <cNvPr id="270" name="Afbeelding 269" descr="United States">
          <a:hlinkClick xmlns:a="http://schemas.openxmlformats.org/drawingml/2006/main" xmlns:r="http://schemas.openxmlformats.org/officeDocument/2006/relationships" tooltip="United States" r:id="rId21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46669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271</row>
      <rowOff>0</rowOff>
    </from>
    <to>
      <col>1</col>
      <colOff>219075</colOff>
      <row>271</row>
      <rowOff>114300</rowOff>
    </to>
    <pic>
      <nvPicPr>
        <cNvPr id="271" name="Afbeelding 270" descr="United States">
          <a:hlinkClick xmlns:a="http://schemas.openxmlformats.org/drawingml/2006/main" xmlns:r="http://schemas.openxmlformats.org/officeDocument/2006/relationships" tooltip="United States" r:id="rId21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7581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272</row>
      <rowOff>0</rowOff>
    </from>
    <to>
      <col>1</col>
      <colOff>219075</colOff>
      <row>272</row>
      <rowOff>142875</rowOff>
    </to>
    <pic>
      <nvPicPr>
        <cNvPr id="272" name="Afbeelding 271" descr="United States Virgin Islands">
          <a:hlinkClick xmlns:a="http://schemas.openxmlformats.org/drawingml/2006/main" xmlns:r="http://schemas.openxmlformats.org/officeDocument/2006/relationships" tooltip="United States Virgin Islands" r:id="rId49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8229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273</row>
      <rowOff>0</rowOff>
    </from>
    <to>
      <col>1</col>
      <colOff>219075</colOff>
      <row>273</row>
      <rowOff>142875</rowOff>
    </to>
    <pic>
      <nvPicPr>
        <cNvPr id="273" name="Afbeelding 272" descr="Uruguay">
          <a:hlinkClick xmlns:a="http://schemas.openxmlformats.org/drawingml/2006/main" xmlns:r="http://schemas.openxmlformats.org/officeDocument/2006/relationships" tooltip="Uruguay" r:id="rId49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83912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274</row>
      <rowOff>0</rowOff>
    </from>
    <to>
      <col>1</col>
      <colOff>219075</colOff>
      <row>274</row>
      <rowOff>114300</rowOff>
    </to>
    <pic>
      <nvPicPr>
        <cNvPr id="274" name="Afbeelding 273" descr="Uzbekistan">
          <a:hlinkClick xmlns:a="http://schemas.openxmlformats.org/drawingml/2006/main" xmlns:r="http://schemas.openxmlformats.org/officeDocument/2006/relationships" tooltip="Uzbekistan" r:id="rId49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92008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275</row>
      <rowOff>0</rowOff>
    </from>
    <to>
      <col>1</col>
      <colOff>219075</colOff>
      <row>275</row>
      <rowOff>133350</rowOff>
    </to>
    <pic>
      <nvPicPr>
        <cNvPr id="275" name="Afbeelding 274" descr="Vanuatu">
          <a:hlinkClick xmlns:a="http://schemas.openxmlformats.org/drawingml/2006/main" xmlns:r="http://schemas.openxmlformats.org/officeDocument/2006/relationships" tooltip="Vanuatu" r:id="rId49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00104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276</row>
      <rowOff>0</rowOff>
    </from>
    <to>
      <col>1</col>
      <colOff>152400</colOff>
      <row>276</row>
      <rowOff>152400</rowOff>
    </to>
    <pic>
      <nvPicPr>
        <cNvPr id="276" name="Afbeelding 275" descr="Vatican City">
          <a:hlinkClick xmlns:a="http://schemas.openxmlformats.org/drawingml/2006/main" xmlns:r="http://schemas.openxmlformats.org/officeDocument/2006/relationships" tooltip="Vatican City" r:id="rId49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0658175"/>
          <a:ext cx="152400" cy="152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277</row>
      <rowOff>0</rowOff>
    </from>
    <to>
      <col>1</col>
      <colOff>219075</colOff>
      <row>277</row>
      <rowOff>142875</rowOff>
    </to>
    <pic>
      <nvPicPr>
        <cNvPr id="277" name="Afbeelding 276" descr="Venezuela">
          <a:hlinkClick xmlns:a="http://schemas.openxmlformats.org/drawingml/2006/main" xmlns:r="http://schemas.openxmlformats.org/officeDocument/2006/relationships" tooltip="Venezuela" r:id="rId50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0820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278</row>
      <rowOff>0</rowOff>
    </from>
    <to>
      <col>1</col>
      <colOff>219075</colOff>
      <row>278</row>
      <rowOff>142875</rowOff>
    </to>
    <pic>
      <nvPicPr>
        <cNvPr id="278" name="Afbeelding 277" descr="Vietnam">
          <a:hlinkClick xmlns:a="http://schemas.openxmlformats.org/drawingml/2006/main" xmlns:r="http://schemas.openxmlformats.org/officeDocument/2006/relationships" tooltip="Vietnam" r:id="rId50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17916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279</row>
      <rowOff>0</rowOff>
    </from>
    <to>
      <col>1</col>
      <colOff>219075</colOff>
      <row>279</row>
      <rowOff>114300</rowOff>
    </to>
    <pic>
      <nvPicPr>
        <cNvPr id="279" name="Afbeelding 278" descr="British Virgin Islands">
          <a:hlinkClick xmlns:a="http://schemas.openxmlformats.org/drawingml/2006/main" xmlns:r="http://schemas.openxmlformats.org/officeDocument/2006/relationships" tooltip="British Virgin Islands" r:id="rId7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26012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280</row>
      <rowOff>0</rowOff>
    </from>
    <to>
      <col>1</col>
      <colOff>219075</colOff>
      <row>280</row>
      <rowOff>142875</rowOff>
    </to>
    <pic>
      <nvPicPr>
        <cNvPr id="280" name="Afbeelding 279" descr="United States Virgin Islands">
          <a:hlinkClick xmlns:a="http://schemas.openxmlformats.org/drawingml/2006/main" xmlns:r="http://schemas.openxmlformats.org/officeDocument/2006/relationships" tooltip="United States Virgin Islands" r:id="rId49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32870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281</row>
      <rowOff>0</rowOff>
    </from>
    <to>
      <col>1</col>
      <colOff>219075</colOff>
      <row>281</row>
      <rowOff>133350</rowOff>
    </to>
    <pic>
      <nvPicPr>
        <cNvPr id="281" name="Afbeelding 280" descr="Wales">
          <a:hlinkClick xmlns:a="http://schemas.openxmlformats.org/drawingml/2006/main" xmlns:r="http://schemas.openxmlformats.org/officeDocument/2006/relationships" tooltip="Wales" r:id="rId50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425862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282</row>
      <rowOff>0</rowOff>
    </from>
    <to>
      <col>1</col>
      <colOff>219075</colOff>
      <row>282</row>
      <rowOff>142875</rowOff>
    </to>
    <pic>
      <nvPicPr>
        <cNvPr id="282" name="Afbeelding 281" descr="Wallis and Futuna">
          <a:hlinkClick xmlns:a="http://schemas.openxmlformats.org/drawingml/2006/main" xmlns:r="http://schemas.openxmlformats.org/officeDocument/2006/relationships" tooltip="Wallis and Futuna" r:id="rId50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44205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283</row>
      <rowOff>0</rowOff>
    </from>
    <to>
      <col>1</col>
      <colOff>219075</colOff>
      <row>283</row>
      <rowOff>114300</rowOff>
    </to>
    <pic>
      <nvPicPr>
        <cNvPr id="283" name="Afbeelding 282" descr="Western Sahara">
          <a:hlinkClick xmlns:a="http://schemas.openxmlformats.org/drawingml/2006/main" xmlns:r="http://schemas.openxmlformats.org/officeDocument/2006/relationships" tooltip="Western Sahara" r:id="rId50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5554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284</row>
      <rowOff>0</rowOff>
    </from>
    <to>
      <col>1</col>
      <colOff>219075</colOff>
      <row>284</row>
      <rowOff>142875</rowOff>
    </to>
    <pic>
      <nvPicPr>
        <cNvPr id="284" name="Afbeelding 283" descr="Yemen">
          <a:hlinkClick xmlns:a="http://schemas.openxmlformats.org/drawingml/2006/main" xmlns:r="http://schemas.openxmlformats.org/officeDocument/2006/relationships" tooltip="Yemen" r:id="rId5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6525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285</row>
      <rowOff>0</rowOff>
    </from>
    <to>
      <col>1</col>
      <colOff>219075</colOff>
      <row>285</row>
      <rowOff>142875</rowOff>
    </to>
    <pic>
      <nvPicPr>
        <cNvPr id="285" name="Afbeelding 284" descr="Zambia">
          <a:hlinkClick xmlns:a="http://schemas.openxmlformats.org/drawingml/2006/main" xmlns:r="http://schemas.openxmlformats.org/officeDocument/2006/relationships" tooltip="Zambia" r:id="rId5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70113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286</row>
      <rowOff>0</rowOff>
    </from>
    <to>
      <col>1</col>
      <colOff>219075</colOff>
      <row>286</row>
      <rowOff>114300</rowOff>
    </to>
    <pic>
      <nvPicPr>
        <cNvPr id="286" name="Afbeelding 285" descr="Zimbabwe">
          <a:hlinkClick xmlns:a="http://schemas.openxmlformats.org/drawingml/2006/main" xmlns:r="http://schemas.openxmlformats.org/officeDocument/2006/relationships" tooltip="Zimbabwe" r:id="rId5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74971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Blad1">
    <outlinePr summaryBelow="1" summaryRight="1"/>
    <pageSetUpPr fitToPage="1"/>
  </sheetPr>
  <dimension ref="A1:EH203"/>
  <sheetViews>
    <sheetView tabSelected="1" topLeftCell="B2" zoomScaleNormal="100" workbookViewId="0">
      <selection activeCell="K26" sqref="K26"/>
    </sheetView>
  </sheetViews>
  <sheetFormatPr baseColWidth="8" defaultColWidth="11.5703125" defaultRowHeight="10.5" customHeight="1"/>
  <cols>
    <col hidden="1" width="11.5703125" customWidth="1" style="6" min="1" max="1"/>
    <col width="2.5703125" customWidth="1" style="6" min="2" max="2"/>
    <col width="18.7109375" customWidth="1" style="6" min="3" max="3"/>
    <col width="12.42578125" bestFit="1" customWidth="1" style="6" min="4" max="4"/>
    <col width="11.5703125" customWidth="1" style="6" min="5" max="5"/>
    <col width="13.7109375" customWidth="1" style="6" min="6" max="6"/>
    <col width="13.28515625" customWidth="1" style="6" min="7" max="7"/>
    <col width="11.5703125" customWidth="1" style="6" min="8" max="8"/>
    <col width="11.5703125" customWidth="1" style="6" min="9" max="13"/>
    <col width="17.28515625" bestFit="1" customWidth="1" style="6" min="14" max="14"/>
    <col width="11.5703125" customWidth="1" style="6" min="15" max="16384"/>
  </cols>
  <sheetData>
    <row r="1" hidden="1" ht="15" customHeight="1">
      <c r="A1" s="6" t="inlineStr">
        <is>
          <t>Auto+Verbergen+waarden+Formulas=Blad5,Blad1,Blad2</t>
        </is>
      </c>
      <c r="C1" s="6" t="inlineStr">
        <is>
          <t>Titel</t>
        </is>
      </c>
      <c r="D1" s="6" t="inlineStr">
        <is>
          <t>Waarde</t>
        </is>
      </c>
    </row>
    <row r="2" ht="15" customHeight="1"/>
    <row r="3" ht="15" customHeight="1">
      <c r="G3" t="inlineStr">
        <is>
          <t>15880-1</t>
        </is>
      </c>
    </row>
    <row r="4" ht="15" customHeight="1">
      <c r="C4" s="6" t="inlineStr">
        <is>
          <t>Datum</t>
        </is>
      </c>
      <c r="D4" s="23" t="n">
        <v>45197</v>
      </c>
      <c r="G4" t="inlineStr">
        <is>
          <t>22-07-2025</t>
        </is>
      </c>
    </row>
    <row r="5" ht="15" customHeight="1">
      <c r="G5" t="inlineStr">
        <is>
          <t>01/NIPO/19465 Barendrecht, 22-07-2025</t>
        </is>
      </c>
    </row>
    <row r="6" ht="15" customHeight="1">
      <c r="C6" s="6" t="inlineStr">
        <is>
          <t>Label</t>
        </is>
      </c>
      <c r="D6" s="6" t="inlineStr">
        <is>
          <t>Waarden</t>
        </is>
      </c>
      <c r="G6" t="inlineStr">
        <is>
          <t>5523</t>
        </is>
      </c>
    </row>
    <row r="7" ht="15" customHeight="1">
      <c r="A7" s="6" t="inlineStr">
        <is>
          <t>optie</t>
        </is>
      </c>
      <c r="C7" s="6" t="inlineStr">
        <is>
          <t>No.</t>
        </is>
      </c>
      <c r="D7" s="6">
        <f>"15943"</f>
        <v/>
      </c>
    </row>
    <row r="8" ht="15" customHeight="1">
      <c r="A8" s="6" t="inlineStr">
        <is>
          <t>optie</t>
        </is>
      </c>
      <c r="C8" s="6" t="inlineStr">
        <is>
          <t>Document type</t>
        </is>
      </c>
      <c r="D8" s="6">
        <f>"Order"</f>
        <v/>
      </c>
    </row>
    <row r="9" ht="15" customHeight="1">
      <c r="A9" s="6" t="inlineStr">
        <is>
          <t>optie</t>
        </is>
      </c>
      <c r="C9" s="6" t="inlineStr">
        <is>
          <t>Shipment date</t>
        </is>
      </c>
      <c r="D9" s="23">
        <f>"13-11-2025"</f>
        <v/>
      </c>
    </row>
    <row r="10" ht="15" customHeight="1"/>
    <row r="11" ht="15" customHeight="1"/>
    <row r="12" ht="15" customHeight="1"/>
    <row r="13" ht="7.5" customHeight="1"/>
    <row r="14" ht="11.25" customHeight="1"/>
    <row r="15" ht="11.25" customHeight="1">
      <c r="C15" s="39" t="inlineStr">
        <is>
          <t>CTS  Netherlands B.V</t>
        </is>
      </c>
      <c r="D15" s="39" t="n"/>
      <c r="E15" s="39" t="n"/>
      <c r="F15" s="39" t="n"/>
    </row>
    <row r="16" ht="11.25" customHeight="1">
      <c r="C16" s="18" t="inlineStr">
        <is>
          <t>EXW Barendrecht (NL)</t>
        </is>
      </c>
      <c r="D16" s="18" t="n"/>
      <c r="E16" s="18" t="n"/>
      <c r="F16" s="18" t="n"/>
    </row>
    <row r="17" ht="11.25" customHeight="1">
      <c r="C17" s="39" t="inlineStr">
        <is>
          <t>Case 1 of 1 / 2.63 m3</t>
        </is>
      </c>
      <c r="D17" s="39" t="n"/>
      <c r="E17" s="39" t="n"/>
      <c r="F17" s="39" t="n"/>
    </row>
    <row r="18" ht="11.25" customHeight="1">
      <c r="C18" t="inlineStr">
        <is>
          <t>160 x 160 x 103 cm</t>
        </is>
      </c>
    </row>
    <row r="19" ht="11.25" customHeight="1">
      <c r="C19" t="inlineStr">
        <is>
          <t>287 KG</t>
        </is>
      </c>
    </row>
    <row r="20" ht="11.25" customHeight="1">
      <c r="C20" s="36" t="inlineStr">
        <is>
          <t>NL</t>
        </is>
      </c>
      <c r="D20" s="39" t="n"/>
      <c r="E20" s="39" t="n"/>
      <c r="F20" s="39" t="n"/>
    </row>
    <row r="21" ht="12.75" customHeight="1">
      <c r="C21" s="6">
        <f>"PT. Bina Rasano Engineering"</f>
        <v/>
      </c>
      <c r="D21" s="39" t="n"/>
      <c r="E21" s="39" t="n"/>
      <c r="F21" s="39" t="n"/>
      <c r="G21" s="18" t="n"/>
      <c r="H21" s="39" t="n"/>
      <c r="I21" s="39" t="n"/>
    </row>
    <row r="22" ht="11.25" customHeight="1">
      <c r="C22" s="6">
        <f>"Wijaya Grand Centre G-15 Jl. Wijaya II"</f>
        <v/>
      </c>
      <c r="D22" s="39" t="n"/>
      <c r="E22" s="39" t="n"/>
      <c r="F22" s="39" t="n"/>
      <c r="G22" s="18" t="n"/>
      <c r="H22" s="39" t="n"/>
      <c r="I22" s="39" t="n"/>
      <c r="N22" s="6">
        <f>""</f>
        <v/>
      </c>
    </row>
    <row r="23" ht="11.25" customHeight="1">
      <c r="C23" s="6">
        <f>"Kel. Pulo  Kec. Kebayoran Baru"</f>
        <v/>
      </c>
      <c r="D23" s="39" t="n"/>
      <c r="E23" s="39" t="n"/>
      <c r="F23" s="39" t="n"/>
      <c r="G23" s="18" t="n"/>
      <c r="H23" s="39" t="n"/>
      <c r="I23" s="39" t="n"/>
      <c r="N23" s="6" t="e">
        <v>#VALUE!</v>
      </c>
      <c r="O23" s="6" t="e">
        <v>#VALUE!</v>
      </c>
    </row>
    <row r="24" ht="11.25" customHeight="1">
      <c r="A24" t="inlineStr">
        <is>
          <t>CTS60 XPE 31.2m per roll 350mm wide, tnk T-9803 - CTS60 joint splice wiper 350 60WSJS350PU 40169990 48 PCS Esther PU 2065 AS, 780x250x1, tnk T-9803 - L-bar rim BLR150448 73089098 210 PCS SS304L, P150, holes 12x20, tnk T-9803 - CTS60 spacer bushing PA-66 60SB10PA66 40169990 750 PCS Diam. Ø10.3/ Ø15 x L=10, tnk T-9803 - Hex head bolt M8x60 BNBM08060 73181535 700 PCS A2, ISO 4017, DIN 933, tnk T-9803 - Washer M8 wide BNWFM08 73181900 1400 PCS A2, DIN 9021, tnk T-9803 - Nut M8 BNNM08G 73181639 1400 PCS A2 G, DIN 934, tnk T-9803 - Speed nut M8 BNNSM08SL 73182100 1000 PCS Type HC/8240, 399 663 500, tnk T-9803</t>
        </is>
      </c>
      <c r="C24" s="6">
        <f>$N$25&amp;" "&amp;$O$25</f>
        <v/>
      </c>
      <c r="E24" t="inlineStr"/>
      <c r="G24" s="19" t="inlineStr"/>
      <c r="H24" s="39" t="n"/>
      <c r="I24" s="39" t="inlineStr"/>
      <c r="N24" s="6" t="e">
        <v>#VALUE!</v>
      </c>
      <c r="O24" s="22" t="n"/>
    </row>
    <row r="25" ht="11.25" customHeight="1">
      <c r="C25" s="6">
        <f>$O$26</f>
        <v/>
      </c>
      <c r="D25" s="39" t="n"/>
      <c r="E25" s="39" t="n"/>
      <c r="F25" s="39" t="n"/>
      <c r="N25" s="6">
        <f>"12160"</f>
        <v/>
      </c>
      <c r="O25" s="6">
        <f>"JAKARTA SELATAN"</f>
        <v/>
      </c>
    </row>
    <row r="26" ht="11.25" customHeight="1">
      <c r="N26" s="6">
        <f>"ID"</f>
        <v/>
      </c>
      <c r="O26" s="22">
        <f>VLOOKUP(N26,'Country Codes'!C:D,2,FALSE)</f>
        <v/>
      </c>
    </row>
    <row r="27" ht="11.25" customHeight="1"/>
    <row r="28" ht="12.75" customHeight="1">
      <c r="C28" s="6">
        <f>C24</f>
        <v/>
      </c>
    </row>
    <row r="29" ht="12.75" customHeight="1">
      <c r="C29" s="39" t="n"/>
      <c r="G29" s="39" t="n"/>
      <c r="H29" s="39" t="n"/>
      <c r="I29" s="39" t="n"/>
    </row>
    <row r="30" ht="10.5" customHeight="1">
      <c r="G30" s="39" t="n"/>
      <c r="H30" s="39" t="n"/>
      <c r="I30" s="39" t="n"/>
    </row>
    <row r="31" ht="10.5" customHeight="1">
      <c r="N31" s="6" t="inlineStr">
        <is>
          <t>Verzenddatum:</t>
        </is>
      </c>
      <c r="O31" s="23">
        <f>D9</f>
        <v/>
      </c>
    </row>
    <row r="32" ht="12.75" customHeight="1">
      <c r="C32" s="39">
        <f>"Barendrecht, NL  "&amp;N34&amp;" "&amp;O33&amp;" "&amp;P34</f>
        <v/>
      </c>
      <c r="D32" s="39" t="n"/>
      <c r="E32" s="24" t="n"/>
      <c r="F32" s="39" t="n"/>
      <c r="G32" s="31" t="inlineStr">
        <is>
          <t xml:space="preserve">Delivery terms: </t>
        </is>
      </c>
      <c r="H32" s="37">
        <f>N35</f>
        <v/>
      </c>
      <c r="I32" s="25" t="n"/>
    </row>
    <row r="33" ht="11.25" customHeight="1">
      <c r="G33" s="39" t="n"/>
      <c r="H33" s="40">
        <f>O35</f>
        <v/>
      </c>
      <c r="O33" s="6">
        <f>VLOOKUP(O34,Months!B:C,2,FALSE)</f>
        <v/>
      </c>
    </row>
    <row r="34" ht="12.75" customHeight="1">
      <c r="G34" s="6" t="inlineStr">
        <is>
          <t xml:space="preserve">Project No.:  </t>
        </is>
      </c>
      <c r="H34" s="34">
        <f>"CTS-"&amp;$N$37</f>
        <v/>
      </c>
      <c r="I34" s="39" t="n"/>
      <c r="N34" s="6">
        <f>DAY(O31)</f>
        <v/>
      </c>
      <c r="O34" s="6">
        <f>MONTH(O31)</f>
        <v/>
      </c>
      <c r="P34" s="6">
        <f>YEAR(O31)</f>
        <v/>
      </c>
    </row>
    <row r="35" ht="15" customHeight="1">
      <c r="N35" s="6">
        <f>"CIF"</f>
        <v/>
      </c>
      <c r="O35" s="6">
        <f>"Port of Jakarta"</f>
        <v/>
      </c>
    </row>
    <row r="36" ht="12.75" customHeight="1">
      <c r="C36" s="39">
        <f>"Packing list No.: "&amp;D7</f>
        <v/>
      </c>
      <c r="D36" s="39" t="n"/>
      <c r="G36" s="39" t="inlineStr">
        <is>
          <t>Customer ref:</t>
        </is>
      </c>
      <c r="H36" s="38">
        <f>" 01/BRE/PO-CTS/VII/2025"</f>
        <v/>
      </c>
      <c r="I36" s="39" t="n"/>
    </row>
    <row r="37" ht="12.75" customHeight="1">
      <c r="N37" s="6">
        <f>"5560"</f>
        <v/>
      </c>
    </row>
    <row r="38" ht="12.75" customHeight="1"/>
    <row r="39" ht="12.75" customHeight="1"/>
    <row r="40" ht="12.75" customHeight="1">
      <c r="C40" s="30" t="inlineStr">
        <is>
          <t>Colli</t>
        </is>
      </c>
      <c r="D40" s="39" t="n"/>
      <c r="E40" s="39" t="n"/>
      <c r="F40" s="39" t="n"/>
      <c r="G40" s="26" t="n"/>
      <c r="H40" s="28" t="n"/>
      <c r="I40" s="39" t="inlineStr">
        <is>
          <t>KG</t>
        </is>
      </c>
    </row>
    <row r="41" ht="12.75" customHeight="1">
      <c r="C41" s="39" t="inlineStr">
        <is>
          <t xml:space="preserve">Dimensions as per attached packaging overview </t>
        </is>
      </c>
      <c r="D41" s="39" t="n"/>
      <c r="E41" s="39" t="n"/>
      <c r="F41" s="39" t="n"/>
      <c r="G41" s="39" t="n"/>
      <c r="H41" s="39" t="n"/>
      <c r="I41" s="39" t="n"/>
    </row>
    <row r="42" ht="12.75" customHeight="1">
      <c r="D42" s="27" t="n"/>
    </row>
    <row r="43" ht="12.75" customHeight="1">
      <c r="C43" s="15" t="inlineStr">
        <is>
          <t>Description</t>
        </is>
      </c>
      <c r="D43" s="17" t="n"/>
      <c r="G43" s="15" t="inlineStr">
        <is>
          <t>L x W x H (cm)</t>
        </is>
      </c>
      <c r="H43" s="15" t="n"/>
      <c r="I43" s="5" t="inlineStr">
        <is>
          <t>Gross weight (kg)</t>
        </is>
      </c>
    </row>
    <row r="44" ht="12.75" customHeight="1">
      <c r="C44">
        <f>"Box 1"</f>
        <v/>
      </c>
      <c r="G44">
        <f>"310 x 112 x 47"</f>
        <v/>
      </c>
      <c r="I44" t="n">
        <v>778</v>
      </c>
    </row>
    <row r="45" ht="12.75" customHeight="1">
      <c r="C45">
        <f>"Box 2"</f>
        <v/>
      </c>
      <c r="G45">
        <f>"115 x 115 x 57"</f>
        <v/>
      </c>
      <c r="I45" t="n">
        <v>354</v>
      </c>
    </row>
    <row r="46" ht="12.75" customHeight="1">
      <c r="C46">
        <f>"Box 3"</f>
        <v/>
      </c>
      <c r="G46">
        <f>"115 x 115 x 57"</f>
        <v/>
      </c>
      <c r="I46" t="n">
        <v>696</v>
      </c>
    </row>
    <row r="47" ht="12.75" customHeight="1">
      <c r="C47">
        <f>"Box 4"</f>
        <v/>
      </c>
      <c r="G47">
        <f>"115 x 115 x 57"</f>
        <v/>
      </c>
      <c r="I47" t="n">
        <v>466</v>
      </c>
    </row>
    <row r="48" ht="12.75" customHeight="1"/>
    <row r="49" ht="12.75" customHeight="1"/>
    <row r="50" ht="12.75" customHeight="1">
      <c r="C50" s="16" t="n"/>
      <c r="D50" s="20" t="n"/>
      <c r="E50" s="16" t="n"/>
      <c r="F50" s="16" t="n"/>
      <c r="G50" s="20" t="n"/>
      <c r="H50" s="20" t="n"/>
      <c r="I50" s="21" t="n"/>
    </row>
    <row r="51" ht="12.75" customHeight="1">
      <c r="C51" s="16" t="n"/>
      <c r="D51" s="20" t="n"/>
      <c r="E51" s="16" t="n"/>
      <c r="F51" s="16" t="n"/>
      <c r="G51" s="20" t="n"/>
      <c r="H51" s="20" t="n"/>
      <c r="I51" s="21" t="n"/>
    </row>
    <row r="52" ht="12.75" customHeight="1">
      <c r="C52" s="2" t="n"/>
      <c r="D52" s="3" t="n"/>
      <c r="E52" s="3" t="n"/>
      <c r="F52" s="2" t="n"/>
      <c r="G52" s="2" t="n"/>
      <c r="H52" s="2" t="n"/>
      <c r="I52" s="2" t="n"/>
    </row>
    <row r="53" ht="12.75" customHeight="1"/>
    <row r="54" ht="12.75" customHeight="1"/>
    <row r="55" ht="12.75" customHeight="1"/>
    <row r="56" ht="12.75" customHeight="1"/>
    <row r="57" ht="12.75" customHeight="1"/>
    <row r="58" ht="10.5" customHeight="1"/>
    <row r="59" ht="12.75" customHeight="1">
      <c r="C59" t="inlineStr">
        <is>
          <t>Previous to deliver, please contact:</t>
        </is>
      </c>
    </row>
    <row r="60" ht="12.75" customHeight="1"/>
    <row r="61" ht="10.5" customHeight="1">
      <c r="C61">
        <f>""</f>
        <v/>
      </c>
    </row>
    <row r="62" ht="12.75" customHeight="1">
      <c r="C62">
        <f>"Tel.:  "&amp;$N$67</f>
        <v/>
      </c>
    </row>
    <row r="64" ht="10.5" customHeight="1">
      <c r="C64" s="29" t="n"/>
    </row>
    <row r="67" ht="10.5" customHeight="1">
      <c r="N67" s="33">
        <f>""</f>
        <v/>
      </c>
    </row>
    <row r="69" ht="12.75" customHeight="1">
      <c r="C69" s="13" t="n"/>
    </row>
    <row r="70" ht="12.75" customHeight="1"/>
    <row r="71" ht="11.25" customHeight="1">
      <c r="C71" s="6">
        <f>C32</f>
        <v/>
      </c>
    </row>
    <row r="72" ht="12.75" customHeight="1"/>
    <row r="73" ht="15" customHeight="1"/>
    <row r="74" ht="12.75" customHeight="1">
      <c r="C74" s="39" t="inlineStr">
        <is>
          <t>CTS Netherlands B.V.</t>
        </is>
      </c>
      <c r="D74" s="39" t="n"/>
      <c r="E74" s="39" t="n"/>
    </row>
    <row r="75" ht="12.75" customHeight="1">
      <c r="C75" s="39" t="inlineStr">
        <is>
          <t>Riga 10</t>
        </is>
      </c>
      <c r="D75" s="39" t="n"/>
      <c r="E75" s="39" t="n"/>
    </row>
    <row r="76" ht="12.75" customHeight="1">
      <c r="C76" s="39" t="inlineStr">
        <is>
          <t>2993 LW BARENDRECHT, NL</t>
        </is>
      </c>
    </row>
    <row r="77" ht="12.75" customHeight="1"/>
    <row r="78" ht="12.75" customHeight="1"/>
    <row r="79" ht="12.75" customHeight="1"/>
    <row r="82" ht="10.5" customHeight="1">
      <c r="Q82" s="23" t="n"/>
    </row>
    <row r="83" ht="10.5" customHeight="1">
      <c r="R83" s="23" t="n"/>
    </row>
    <row r="84" ht="10.5" customHeight="1">
      <c r="S84" s="23" t="n"/>
    </row>
    <row r="85" ht="10.5" customHeight="1">
      <c r="T85" s="23" t="n"/>
    </row>
    <row r="86" ht="10.5" customHeight="1">
      <c r="U86" s="23" t="n"/>
    </row>
    <row r="87" ht="10.5" customHeight="1">
      <c r="V87" s="23" t="n"/>
    </row>
    <row r="88" ht="10.5" customHeight="1">
      <c r="W88" s="23" t="n"/>
    </row>
    <row r="89" ht="10.5" customHeight="1">
      <c r="X89" s="23" t="n"/>
    </row>
    <row r="90" ht="10.5" customHeight="1">
      <c r="Y90" s="23" t="n"/>
    </row>
    <row r="91" ht="10.5" customHeight="1">
      <c r="Z91" s="23" t="n"/>
    </row>
    <row r="92" ht="10.5" customHeight="1">
      <c r="AA92" s="23" t="n"/>
    </row>
    <row r="93" ht="10.5" customHeight="1">
      <c r="AB93" s="6" t="n">
        <v>15248</v>
      </c>
    </row>
    <row r="94" ht="10.5" customHeight="1">
      <c r="AC94" s="23" t="n"/>
    </row>
    <row r="95" ht="10.5" customHeight="1">
      <c r="AD95" s="23" t="n"/>
    </row>
    <row r="96" ht="10.5" customHeight="1">
      <c r="AE96" s="23" t="n"/>
    </row>
    <row r="97" ht="10.5" customHeight="1">
      <c r="AF97" s="23" t="n"/>
    </row>
    <row r="98" ht="10.5" customHeight="1">
      <c r="AG98" s="23" t="n"/>
    </row>
    <row r="99" ht="10.5" customHeight="1">
      <c r="AH99" s="23" t="n"/>
    </row>
    <row r="100" ht="10.5" customHeight="1">
      <c r="AI100" s="23" t="n"/>
    </row>
    <row r="101" ht="10.5" customHeight="1">
      <c r="AJ101" s="23" t="n"/>
    </row>
    <row r="102" ht="10.5" customHeight="1">
      <c r="AK102" s="23" t="n"/>
    </row>
    <row r="103" ht="10.5" customHeight="1">
      <c r="AL103" s="23" t="n"/>
    </row>
    <row r="104" ht="10.5" customHeight="1">
      <c r="AM104" s="23" t="n"/>
    </row>
    <row r="105" ht="10.5" customHeight="1">
      <c r="AN105" s="23" t="n"/>
    </row>
    <row r="106" ht="10.5" customHeight="1">
      <c r="AO106" s="23" t="n"/>
    </row>
    <row r="107" ht="10.5" customHeight="1">
      <c r="AP107" s="6" t="n">
        <v>15356</v>
      </c>
    </row>
    <row r="108" ht="10.5" customHeight="1">
      <c r="AQ108" s="6" t="n">
        <v>15356</v>
      </c>
    </row>
    <row r="109" ht="10.5" customHeight="1">
      <c r="AR109" s="6" t="n">
        <v>15356</v>
      </c>
    </row>
    <row r="110" ht="10.5" customHeight="1">
      <c r="AS110" s="6" t="n">
        <v>15254</v>
      </c>
    </row>
    <row r="111" ht="10.5" customHeight="1">
      <c r="AT111" s="23" t="n"/>
    </row>
    <row r="112" ht="10.5" customHeight="1">
      <c r="AU112" s="23" t="n"/>
    </row>
    <row r="113" ht="10.5" customHeight="1">
      <c r="AV113" s="23" t="n"/>
    </row>
    <row r="114" ht="10.5" customHeight="1">
      <c r="AW114" s="23" t="n"/>
    </row>
    <row r="115" ht="10.5" customHeight="1">
      <c r="AX115" s="6" t="n">
        <v>15359</v>
      </c>
    </row>
    <row r="116" ht="10.5" customHeight="1">
      <c r="AY116" s="23" t="n"/>
    </row>
    <row r="117" ht="10.5" customHeight="1">
      <c r="AZ117" s="23" t="n"/>
    </row>
    <row r="118" ht="10.5" customHeight="1">
      <c r="BA118" s="23" t="n"/>
    </row>
    <row r="119" ht="10.5" customHeight="1">
      <c r="BB119" s="23" t="n"/>
    </row>
    <row r="120" ht="10.5" customHeight="1">
      <c r="BC120" s="23" t="n"/>
    </row>
    <row r="121" ht="10.5" customHeight="1">
      <c r="BD121" s="23" t="n"/>
    </row>
    <row r="122" ht="10.5" customHeight="1">
      <c r="BE122" s="23" t="n"/>
    </row>
    <row r="123" ht="10.5" customHeight="1">
      <c r="BF123" s="23" t="n"/>
    </row>
    <row r="124" ht="10.5" customHeight="1">
      <c r="BG124" s="23" t="n"/>
    </row>
    <row r="125" ht="10.5" customHeight="1">
      <c r="BH125" s="23" t="n"/>
    </row>
    <row r="126" ht="10.5" customHeight="1">
      <c r="BI126" s="23" t="n"/>
    </row>
    <row r="127" ht="10.5" customHeight="1">
      <c r="BJ127" s="23" t="n"/>
    </row>
    <row r="128" ht="10.5" customHeight="1">
      <c r="BK128" s="35" t="n"/>
    </row>
    <row r="129" ht="10.5" customHeight="1">
      <c r="BL129" s="23" t="n"/>
    </row>
    <row r="130" ht="10.5" customHeight="1">
      <c r="BM130" s="23" t="n"/>
    </row>
    <row r="131" ht="10.5" customHeight="1">
      <c r="BN131" s="6" t="n">
        <v>15217</v>
      </c>
    </row>
    <row r="132" ht="10.5" customHeight="1">
      <c r="BO132" s="23" t="n"/>
    </row>
    <row r="133" ht="10.5" customHeight="1">
      <c r="BP133" s="6" t="n">
        <v>15381</v>
      </c>
    </row>
    <row r="134" ht="10.5" customHeight="1">
      <c r="BQ134" s="23" t="n"/>
    </row>
    <row r="135" ht="10.5" customHeight="1">
      <c r="BR135" s="23" t="n"/>
    </row>
    <row r="136" ht="10.5" customHeight="1">
      <c r="BS136" s="23" t="n"/>
    </row>
    <row r="137" ht="10.5" customHeight="1">
      <c r="BT137" s="6" t="n">
        <v>15272</v>
      </c>
    </row>
    <row r="138" ht="10.5" customHeight="1">
      <c r="BU138" s="6" t="n">
        <v>15408</v>
      </c>
    </row>
    <row r="139" ht="10.5" customHeight="1">
      <c r="BV139" s="23" t="n"/>
    </row>
    <row r="140" ht="10.5" customHeight="1">
      <c r="BW140" s="23" t="n"/>
    </row>
    <row r="141" ht="10.5" customHeight="1">
      <c r="BX141" s="23" t="n"/>
    </row>
    <row r="142" ht="10.5" customHeight="1">
      <c r="BY142" s="23" t="n"/>
    </row>
    <row r="143" ht="10.5" customHeight="1">
      <c r="BZ143" s="23" t="n"/>
    </row>
    <row r="144" ht="10.5" customHeight="1">
      <c r="CA144" s="23" t="n"/>
    </row>
    <row r="145" ht="10.5" customHeight="1">
      <c r="CB145" s="6" t="n">
        <v>15443</v>
      </c>
    </row>
    <row r="146" ht="10.5" customHeight="1">
      <c r="CC146" s="23" t="n"/>
    </row>
    <row r="147" ht="10.5" customHeight="1">
      <c r="CD147" s="23" t="n"/>
    </row>
    <row r="148" ht="10.5" customHeight="1">
      <c r="CE148" s="23" t="n"/>
    </row>
    <row r="149" ht="10.5" customHeight="1">
      <c r="CF149" s="6" t="n">
        <v>15439</v>
      </c>
    </row>
    <row r="150" ht="10.5" customHeight="1">
      <c r="CG150" s="23" t="n"/>
    </row>
    <row r="151" ht="10.5" customHeight="1">
      <c r="CH151" s="23" t="n"/>
    </row>
    <row r="152" ht="10.5" customHeight="1">
      <c r="CI152" s="23" t="n"/>
    </row>
    <row r="153" ht="10.5" customHeight="1">
      <c r="CJ153" s="23" t="n"/>
    </row>
    <row r="154" ht="10.5" customHeight="1">
      <c r="CK154" s="23" t="n"/>
    </row>
    <row r="155" ht="10.5" customHeight="1">
      <c r="CL155" s="23" t="n"/>
    </row>
    <row r="156" ht="10.5" customHeight="1">
      <c r="CM156" s="6" t="n">
        <v>15453</v>
      </c>
    </row>
    <row r="157" ht="10.5" customHeight="1">
      <c r="CN157" s="23" t="n"/>
    </row>
    <row r="158" ht="10.5" customHeight="1">
      <c r="CO158" s="23" t="n"/>
    </row>
    <row r="159" ht="10.5" customHeight="1">
      <c r="CP159" s="23" t="n"/>
    </row>
    <row r="160" ht="10.5" customHeight="1">
      <c r="CQ160" s="23" t="n"/>
    </row>
    <row r="161" ht="10.5" customHeight="1">
      <c r="CR161" s="23" t="n"/>
    </row>
    <row r="162" ht="10.5" customHeight="1">
      <c r="CS162" s="23" t="n"/>
    </row>
    <row r="163" ht="10.5" customHeight="1">
      <c r="CT163" s="23" t="n"/>
    </row>
    <row r="164" ht="10.5" customHeight="1">
      <c r="CU164" s="6" t="n">
        <v>15506</v>
      </c>
    </row>
    <row r="165" ht="10.5" customHeight="1">
      <c r="CV165" s="6" t="n">
        <v>15506</v>
      </c>
    </row>
    <row r="166" ht="10.5" customHeight="1">
      <c r="CW166" s="23" t="n"/>
    </row>
    <row r="167" ht="10.5" customHeight="1">
      <c r="CX167" s="23" t="n"/>
    </row>
    <row r="168" ht="10.5" customHeight="1">
      <c r="CY168" s="6" t="n">
        <v>15706</v>
      </c>
    </row>
    <row r="169" ht="10.5" customHeight="1">
      <c r="CZ169" s="23" t="n"/>
    </row>
    <row r="170" ht="10.5" customHeight="1">
      <c r="DA170" s="23" t="n"/>
    </row>
    <row r="171" ht="10.5" customHeight="1">
      <c r="DB171" s="23" t="n"/>
    </row>
    <row r="172" ht="10.5" customHeight="1">
      <c r="DC172" s="6" t="n">
        <v>15710</v>
      </c>
    </row>
    <row r="173" ht="10.5" customHeight="1">
      <c r="DD173" s="23" t="n"/>
    </row>
    <row r="174" ht="10.5" customHeight="1">
      <c r="DE174" s="23" t="n"/>
    </row>
    <row r="175" ht="10.5" customHeight="1">
      <c r="DF175" s="6" t="n">
        <v>15762</v>
      </c>
    </row>
    <row r="176" ht="10.5" customHeight="1">
      <c r="DG176" s="6" t="n">
        <v>15841</v>
      </c>
    </row>
    <row r="177" ht="10.5" customHeight="1">
      <c r="DH177" s="6" t="n">
        <v>15670</v>
      </c>
    </row>
    <row r="178" ht="10.5" customHeight="1">
      <c r="DI178" s="6" t="n">
        <v>15738</v>
      </c>
    </row>
    <row r="179" ht="10.5" customHeight="1">
      <c r="DJ179" s="23" t="n"/>
    </row>
    <row r="180" ht="10.5" customHeight="1">
      <c r="DK180" s="6" t="n">
        <v>15670</v>
      </c>
    </row>
    <row r="181" ht="10.5" customHeight="1">
      <c r="DL181" s="23" t="n"/>
    </row>
    <row r="182" ht="10.5" customHeight="1">
      <c r="DM182" s="23" t="n"/>
    </row>
    <row r="183" ht="10.5" customHeight="1">
      <c r="DN183" s="6" t="n">
        <v>15919</v>
      </c>
    </row>
    <row r="184" ht="10.5" customHeight="1">
      <c r="DO184" s="23" t="n"/>
    </row>
    <row r="185" ht="10.5" customHeight="1">
      <c r="DP185" s="23" t="n"/>
    </row>
    <row r="186" ht="10.5" customHeight="1">
      <c r="DQ186" s="6" t="n">
        <v>15860</v>
      </c>
    </row>
    <row r="187" ht="10.5" customHeight="1">
      <c r="DR187" s="6" t="n">
        <v>15860</v>
      </c>
    </row>
    <row r="188" ht="10.5" customHeight="1">
      <c r="DS188" s="6" t="n">
        <v>15860</v>
      </c>
    </row>
    <row r="189" ht="10.5" customHeight="1">
      <c r="DT189" s="23" t="n"/>
    </row>
    <row r="190" ht="10.5" customHeight="1">
      <c r="DU190" s="6" t="n">
        <v>15858</v>
      </c>
    </row>
    <row r="191" ht="10.5" customHeight="1">
      <c r="DV191" s="6" t="n">
        <v>15982</v>
      </c>
    </row>
    <row r="192" ht="10.5" customHeight="1">
      <c r="DW192" s="23" t="n"/>
    </row>
    <row r="193" ht="10.5" customHeight="1">
      <c r="DX193" s="6" t="n">
        <v>15945</v>
      </c>
    </row>
    <row r="194" ht="10.5" customHeight="1">
      <c r="DY194" s="23" t="n"/>
    </row>
    <row r="195" ht="10.5" customHeight="1">
      <c r="DZ195" s="6" t="n">
        <v>16013</v>
      </c>
    </row>
    <row r="196" ht="10.5" customHeight="1">
      <c r="EA196" s="23" t="n"/>
    </row>
    <row r="197" ht="10.5" customHeight="1">
      <c r="EB197" s="6" t="n">
        <v>15974</v>
      </c>
    </row>
    <row r="198" ht="10.5" customHeight="1">
      <c r="EC198" s="6" t="n">
        <v>15974</v>
      </c>
    </row>
    <row r="199" ht="10.5" customHeight="1">
      <c r="ED199" s="23" t="n"/>
    </row>
    <row r="200" ht="10.5" customHeight="1">
      <c r="EE200" s="6" t="n">
        <v>15859</v>
      </c>
    </row>
    <row r="201" ht="10.5" customHeight="1">
      <c r="EF201" s="23" t="n"/>
    </row>
    <row r="202" ht="10.5" customHeight="1">
      <c r="EG202" s="6" t="n">
        <v>15943</v>
      </c>
    </row>
    <row r="203" ht="10.5" customHeight="1">
      <c r="EH203" s="23" t="n"/>
    </row>
  </sheetData>
  <mergeCells count="2">
    <mergeCell ref="C76:E76"/>
    <mergeCell ref="H33:I33"/>
  </mergeCells>
  <pageMargins left="0.7086614173228347" right="0.2362204724409449" top="0.3937007874015748" bottom="0.1968503937007874" header="0" footer="0"/>
  <pageSetup orientation="portrait" paperSize="9" scale="98" blackAndWhite="1" verticalDpi="300"/>
</worksheet>
</file>

<file path=xl/worksheets/sheet2.xml><?xml version="1.0" encoding="utf-8"?>
<worksheet xmlns="http://schemas.openxmlformats.org/spreadsheetml/2006/main">
  <sheetPr codeName="Blad2">
    <outlinePr summaryBelow="1" summaryRight="1"/>
    <pageSetUpPr/>
  </sheetPr>
  <dimension ref="A1:O78"/>
  <sheetViews>
    <sheetView topLeftCell="C2" workbookViewId="0">
      <selection activeCell="C6" sqref="C6:I10"/>
    </sheetView>
  </sheetViews>
  <sheetFormatPr baseColWidth="8" defaultRowHeight="12.75"/>
  <cols>
    <col hidden="1" width="25.28515625" customWidth="1" min="1" max="1"/>
    <col hidden="1" width="17.85546875" customWidth="1" style="2" min="2" max="2"/>
    <col width="25.140625" customWidth="1" min="3" max="3"/>
    <col width="27.140625" customWidth="1" min="4" max="4"/>
    <col width="27.42578125" bestFit="1" customWidth="1" min="5" max="5"/>
    <col width="15.7109375" customWidth="1" min="6" max="6"/>
    <col width="20.7109375" customWidth="1" min="7" max="8"/>
    <col width="17.7109375" bestFit="1" customWidth="1" min="9" max="10"/>
    <col width="12" customWidth="1" min="11" max="11"/>
    <col width="15.7109375" customWidth="1" min="12" max="12"/>
    <col width="20.7109375" customWidth="1" min="13" max="14"/>
    <col width="22.28515625" customWidth="1" min="19" max="19"/>
    <col width="9.28515625" bestFit="1" customWidth="1" min="20" max="20"/>
  </cols>
  <sheetData>
    <row r="1" hidden="1">
      <c r="A1" t="inlineStr">
        <is>
          <t>Auto+Verbergen+waarden+Formulas=Blad6,Blad3,Blad4</t>
        </is>
      </c>
      <c r="B1" s="2" t="inlineStr">
        <is>
          <t>verbergen</t>
        </is>
      </c>
    </row>
    <row r="2"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C3" s="15" t="inlineStr">
        <is>
          <t>Colli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C4" s="44" t="inlineStr">
        <is>
          <t>COPY COLLI BELOW TO CMR FORM</t>
        </is>
      </c>
      <c r="D4" s="45" t="n"/>
      <c r="E4" s="45" t="n"/>
      <c r="F4" s="45" t="n"/>
      <c r="G4" s="45" t="n"/>
      <c r="H4" s="45" t="n"/>
      <c r="I4" s="46" t="n"/>
      <c r="J4" s="2" t="n"/>
      <c r="K4" s="2" t="n"/>
      <c r="L4" s="2" t="n"/>
    </row>
    <row r="5">
      <c r="C5" s="15" t="inlineStr">
        <is>
          <t>Description</t>
        </is>
      </c>
      <c r="D5" s="17" t="n"/>
      <c r="G5" s="15" t="inlineStr">
        <is>
          <t>L x W x H (cm)</t>
        </is>
      </c>
      <c r="H5" s="15" t="n"/>
      <c r="I5" s="5" t="inlineStr">
        <is>
          <t>Gross weight (kg)</t>
        </is>
      </c>
      <c r="J5" s="15" t="n"/>
      <c r="K5" s="15" t="inlineStr">
        <is>
          <t>Length</t>
        </is>
      </c>
      <c r="L5" s="15" t="inlineStr">
        <is>
          <t>Width</t>
        </is>
      </c>
      <c r="M5" s="15" t="inlineStr">
        <is>
          <t>Height</t>
        </is>
      </c>
    </row>
    <row r="6">
      <c r="B6" s="14">
        <f>"""CTS NL"",""CTS Netherlands B.V."",""50016"",""1"",""Order"",""2"",""15943"",""3"",""1"""</f>
        <v/>
      </c>
      <c r="C6">
        <f>"Box 1"</f>
        <v/>
      </c>
      <c r="G6">
        <f>"310 x 112 x 47"</f>
        <v/>
      </c>
      <c r="I6" t="n">
        <v>778</v>
      </c>
      <c r="K6" s="2" t="n">
        <v>310</v>
      </c>
      <c r="L6" s="2" t="n">
        <v>112</v>
      </c>
      <c r="M6" s="2" t="n">
        <v>47</v>
      </c>
    </row>
    <row r="7">
      <c r="A7" t="inlineStr">
        <is>
          <t>Auto</t>
        </is>
      </c>
      <c r="B7" s="14">
        <f>"""CTS NL"",""CTS Netherlands B.V."",""50016"",""1"",""Order"",""2"",""15943"",""3"",""2"""</f>
        <v/>
      </c>
      <c r="C7">
        <f>"Box 2"</f>
        <v/>
      </c>
      <c r="G7">
        <f>"115 x 115 x 57"</f>
        <v/>
      </c>
      <c r="I7" t="n">
        <v>354</v>
      </c>
      <c r="K7" s="2" t="n">
        <v>115</v>
      </c>
      <c r="L7" s="2" t="n">
        <v>115</v>
      </c>
      <c r="M7" s="2" t="n">
        <v>57</v>
      </c>
    </row>
    <row r="8">
      <c r="A8" t="inlineStr">
        <is>
          <t>Auto</t>
        </is>
      </c>
      <c r="B8" s="14">
        <f>"""CTS NL"",""CTS Netherlands B.V."",""50016"",""1"",""Order"",""2"",""15943"",""3"",""3"""</f>
        <v/>
      </c>
      <c r="C8">
        <f>"Box 3"</f>
        <v/>
      </c>
      <c r="G8">
        <f>"115 x 115 x 57"</f>
        <v/>
      </c>
      <c r="I8" t="n">
        <v>696</v>
      </c>
      <c r="K8" s="2" t="n">
        <v>115</v>
      </c>
      <c r="L8" s="2" t="n">
        <v>115</v>
      </c>
      <c r="M8" s="2" t="n">
        <v>57</v>
      </c>
    </row>
    <row r="9">
      <c r="A9" t="inlineStr">
        <is>
          <t>Auto</t>
        </is>
      </c>
      <c r="B9" s="14">
        <f>"""CTS NL"",""CTS Netherlands B.V."",""50016"",""1"",""Order"",""2"",""15943"",""3"",""4"""</f>
        <v/>
      </c>
      <c r="C9">
        <f>"Box 4"</f>
        <v/>
      </c>
      <c r="G9">
        <f>"115 x 115 x 57"</f>
        <v/>
      </c>
      <c r="I9" t="n">
        <v>466</v>
      </c>
      <c r="K9" s="2" t="n">
        <v>115</v>
      </c>
      <c r="L9" s="2" t="n">
        <v>115</v>
      </c>
      <c r="M9" s="2" t="n">
        <v>57</v>
      </c>
    </row>
    <row r="10">
      <c r="B10" s="14" t="n"/>
      <c r="J10" s="21" t="n"/>
      <c r="K10" s="2" t="n"/>
      <c r="L10" s="2" t="n"/>
    </row>
    <row r="11">
      <c r="A11" s="14" t="n"/>
      <c r="B11" s="14" t="n"/>
      <c r="C11" s="16" t="n"/>
      <c r="D11" s="20" t="n"/>
      <c r="E11" s="16" t="n"/>
      <c r="F11" s="16" t="n"/>
      <c r="G11" s="20" t="n"/>
      <c r="H11" s="20" t="n"/>
      <c r="I11" s="21" t="n"/>
      <c r="J11" s="21" t="n"/>
      <c r="K11" s="2" t="n"/>
      <c r="L11" s="2" t="n"/>
    </row>
    <row r="12">
      <c r="A12" s="14" t="n"/>
      <c r="B12" s="14" t="n"/>
      <c r="C12" s="16" t="n"/>
      <c r="D12" s="20" t="n"/>
      <c r="E12" s="16" t="n"/>
      <c r="F12" s="16" t="n"/>
      <c r="G12" s="20" t="n"/>
      <c r="H12" s="20" t="n"/>
      <c r="I12" s="21" t="n"/>
      <c r="J12" s="21" t="n"/>
      <c r="K12" s="2" t="n"/>
      <c r="L12" s="2" t="n"/>
    </row>
    <row r="13">
      <c r="A13" s="14" t="n"/>
      <c r="B13" s="14" t="n"/>
      <c r="C13" s="16" t="n"/>
      <c r="D13" s="20" t="n"/>
      <c r="E13" s="16" t="n"/>
      <c r="F13" s="16" t="n"/>
      <c r="G13" s="20" t="n"/>
      <c r="H13" s="20" t="n"/>
      <c r="I13" s="21" t="n"/>
      <c r="J13" s="21" t="n"/>
      <c r="K13" s="2" t="n"/>
      <c r="L13" s="2" t="n"/>
    </row>
    <row r="14">
      <c r="A14" s="14" t="n"/>
      <c r="B14" s="14" t="n"/>
      <c r="C14" s="2" t="n"/>
      <c r="D14" s="3" t="n"/>
      <c r="E14" s="3" t="n"/>
      <c r="F14" s="2" t="n"/>
      <c r="G14" s="2" t="n"/>
      <c r="H14" s="2" t="n"/>
      <c r="I14" s="2" t="n"/>
      <c r="J14" s="21" t="n"/>
      <c r="K14" s="2" t="n"/>
      <c r="L14" s="2" t="n"/>
    </row>
    <row r="15">
      <c r="A15" s="14" t="n"/>
      <c r="B15" s="14" t="n"/>
      <c r="C15" s="15" t="inlineStr">
        <is>
          <t>Hoofdartikelen</t>
        </is>
      </c>
      <c r="D15" s="3" t="n"/>
      <c r="E15" s="3" t="n"/>
      <c r="F15" s="2" t="n"/>
      <c r="G15" s="2" t="n"/>
      <c r="H15" s="2" t="n"/>
      <c r="I15" s="2" t="n"/>
      <c r="J15" s="2" t="n"/>
      <c r="K15" s="2" t="n"/>
      <c r="L15" s="2" t="n"/>
    </row>
    <row r="16">
      <c r="A16" s="14" t="n"/>
      <c r="B16" s="14" t="n"/>
      <c r="C16" s="15" t="inlineStr">
        <is>
          <t>Regelnummer</t>
        </is>
      </c>
      <c r="D16" s="15" t="inlineStr">
        <is>
          <t>Artikelnummer</t>
        </is>
      </c>
      <c r="E16" s="15" t="inlineStr">
        <is>
          <t>Omschrijving</t>
        </is>
      </c>
      <c r="F16" s="15" t="inlineStr">
        <is>
          <t>Omschrijving 2</t>
        </is>
      </c>
      <c r="G16" s="15" t="inlineStr">
        <is>
          <t>HS Code</t>
        </is>
      </c>
      <c r="H16" s="15" t="n"/>
      <c r="I16" s="16" t="n"/>
      <c r="J16" s="16" t="n"/>
      <c r="K16" s="16" t="n"/>
      <c r="L16" s="16" t="n"/>
      <c r="M16" s="16" t="n"/>
      <c r="N16" s="16" t="n"/>
      <c r="O16" s="16" t="n"/>
    </row>
    <row r="17">
      <c r="A17" s="14" t="n"/>
      <c r="B17" s="14">
        <f>"""CTS NL"",""CTS Netherlands B.V."",""37"",""1"",""Order"",""3"",""15943"",""4"",""40000"""</f>
        <v/>
      </c>
      <c r="C17" s="2">
        <f>"1"</f>
        <v/>
      </c>
      <c r="D17" s="2">
        <f>"0120I185V00FP"</f>
        <v/>
      </c>
      <c r="E17" s="3">
        <f>"CTS1 liquid mounted prim. scissor shoe plate seal"</f>
        <v/>
      </c>
      <c r="F17" s="3">
        <f>"SS304L P185 V incl. FP"</f>
        <v/>
      </c>
      <c r="G17" s="2">
        <f>"73089098"</f>
        <v/>
      </c>
      <c r="H17" s="2" t="n"/>
      <c r="I17" s="2" t="n"/>
      <c r="J17" s="2" t="n"/>
      <c r="K17" s="2" t="n"/>
      <c r="L17" s="2" t="n"/>
      <c r="M17" s="2" t="n"/>
    </row>
    <row r="18">
      <c r="A18" s="14" t="inlineStr">
        <is>
          <t>Auto</t>
        </is>
      </c>
      <c r="B18" s="14">
        <f>"""CTS NL"",""CTS Netherlands B.V."",""37"",""1"",""Order"",""3"",""15943"",""4"",""100000"""</f>
        <v/>
      </c>
      <c r="C18" s="2">
        <f>"2"</f>
        <v/>
      </c>
      <c r="D18" s="2">
        <f>"FREIGHTCHARGE"</f>
        <v/>
      </c>
      <c r="E18" s="3">
        <f>"CIF delivery costs"</f>
        <v/>
      </c>
      <c r="F18" s="3">
        <f>""</f>
        <v/>
      </c>
      <c r="G18" s="2">
        <f>""</f>
        <v/>
      </c>
      <c r="H18" s="2" t="n"/>
      <c r="I18" s="2" t="n"/>
      <c r="J18" s="2" t="n"/>
      <c r="K18" s="2" t="n"/>
      <c r="L18" s="2" t="n"/>
      <c r="M18" s="2" t="n"/>
    </row>
    <row r="19">
      <c r="A19" s="14" t="n"/>
      <c r="B19" s="14" t="n"/>
      <c r="C19" s="2" t="n"/>
      <c r="D19" s="3" t="n"/>
      <c r="E19" s="3" t="n"/>
      <c r="F19" s="2" t="n"/>
      <c r="G19" s="2" t="n"/>
      <c r="H19" s="2" t="n"/>
      <c r="I19" s="2" t="n"/>
      <c r="J19" s="2" t="n"/>
      <c r="K19" s="2" t="n"/>
      <c r="L19" s="2" t="n"/>
    </row>
    <row r="20">
      <c r="A20" s="14" t="n"/>
      <c r="B20" s="14" t="n"/>
      <c r="C20" s="2" t="n"/>
      <c r="D20" s="3" t="n"/>
      <c r="E20" s="3" t="n"/>
      <c r="F20" s="2" t="n"/>
      <c r="G20" s="2" t="n"/>
      <c r="H20" s="2" t="n"/>
      <c r="I20" s="2" t="n"/>
      <c r="J20" s="2" t="n"/>
      <c r="K20" s="2" t="n"/>
      <c r="L20" s="2" t="n"/>
    </row>
    <row r="21">
      <c r="A21" s="14" t="n"/>
      <c r="B21" s="14" t="n"/>
      <c r="C21" s="2" t="n"/>
      <c r="D21" s="3" t="n"/>
      <c r="E21" s="3" t="n"/>
      <c r="F21" s="2" t="n"/>
      <c r="G21" s="2" t="n"/>
      <c r="H21" s="2" t="n"/>
      <c r="I21" s="2" t="n"/>
      <c r="J21" s="2" t="n"/>
      <c r="K21" s="2" t="n"/>
      <c r="L21" s="2" t="n"/>
    </row>
    <row r="22">
      <c r="A22" s="14" t="n"/>
      <c r="B22" s="14" t="n"/>
      <c r="C22" s="2" t="n"/>
      <c r="D22" s="3" t="n"/>
      <c r="E22" s="3" t="n"/>
      <c r="F22" s="2" t="n"/>
      <c r="G22" s="2" t="n"/>
      <c r="H22" s="2" t="n"/>
      <c r="I22" s="2" t="n"/>
      <c r="J22" s="2" t="n"/>
      <c r="K22" s="2" t="n"/>
      <c r="L22" s="2" t="n"/>
    </row>
    <row r="23">
      <c r="A23" s="14" t="n"/>
      <c r="B23" s="14" t="n"/>
      <c r="C23" s="2" t="n"/>
      <c r="D23" s="3" t="n"/>
      <c r="E23" s="3" t="n"/>
      <c r="F23" s="2" t="n"/>
      <c r="G23" s="2" t="n"/>
      <c r="H23" s="2" t="n"/>
      <c r="I23" s="2" t="n"/>
      <c r="J23" s="2" t="n"/>
      <c r="K23" s="2" t="n"/>
      <c r="L23" s="2" t="n"/>
    </row>
    <row r="24">
      <c r="A24" s="14" t="n"/>
      <c r="B24" s="14" t="n"/>
      <c r="C24" s="2" t="n"/>
      <c r="D24" s="3" t="n"/>
      <c r="E24" s="3" t="n"/>
      <c r="F24" s="2" t="n"/>
      <c r="G24" s="2" t="n"/>
      <c r="H24" s="2" t="n"/>
      <c r="I24" s="2" t="n"/>
      <c r="J24" s="2" t="n"/>
      <c r="K24" s="2" t="n"/>
      <c r="L24" s="2" t="n"/>
    </row>
    <row r="25">
      <c r="A25" s="14" t="n"/>
      <c r="B25" s="14" t="n"/>
      <c r="C25" s="2" t="n"/>
      <c r="D25" s="3" t="n"/>
      <c r="E25" s="3" t="n"/>
      <c r="F25" s="2" t="n"/>
      <c r="G25" s="2" t="n"/>
      <c r="H25" s="2" t="n"/>
      <c r="I25" s="2" t="n"/>
      <c r="J25" s="2" t="n"/>
      <c r="K25" s="2" t="n"/>
      <c r="L25" s="2" t="n"/>
    </row>
    <row r="26">
      <c r="A26" s="14" t="n"/>
      <c r="B26" s="14" t="n"/>
      <c r="C26" s="2" t="n"/>
      <c r="D26" s="3" t="n"/>
      <c r="E26" s="3" t="n"/>
      <c r="F26" s="2" t="n"/>
      <c r="G26" s="2" t="n"/>
      <c r="H26" s="2" t="n"/>
      <c r="I26" s="2" t="n"/>
      <c r="J26" s="2" t="n"/>
      <c r="K26" s="2" t="n"/>
      <c r="L26" s="2" t="n"/>
    </row>
    <row r="27">
      <c r="A27" s="14" t="n"/>
      <c r="B27" s="14" t="n"/>
      <c r="C27" s="2" t="n"/>
      <c r="D27" s="3" t="n"/>
      <c r="E27" s="3" t="n"/>
      <c r="F27" s="2" t="n"/>
      <c r="G27" s="2" t="n"/>
      <c r="H27" s="2" t="n"/>
      <c r="I27" s="2" t="n"/>
      <c r="J27" s="2" t="n"/>
      <c r="K27" s="2" t="n"/>
      <c r="L27" s="2" t="n"/>
    </row>
    <row r="28">
      <c r="A28" s="14" t="n"/>
      <c r="B28" s="14" t="n"/>
      <c r="C28" s="2" t="n"/>
      <c r="D28" s="3" t="n"/>
      <c r="E28" s="3" t="n"/>
      <c r="F28" s="2" t="n"/>
      <c r="G28" s="2" t="n"/>
      <c r="H28" s="2" t="n"/>
      <c r="I28" s="2" t="n"/>
      <c r="J28" s="2" t="n"/>
      <c r="K28" s="2" t="n"/>
      <c r="L28" s="2" t="n"/>
    </row>
    <row r="29">
      <c r="A29" s="14" t="n"/>
      <c r="B29" s="14" t="n"/>
      <c r="C29" s="2" t="n"/>
      <c r="D29" s="3" t="n"/>
      <c r="E29" s="3" t="n"/>
      <c r="F29" s="2" t="n"/>
      <c r="G29" s="2" t="n"/>
      <c r="H29" s="2" t="n"/>
      <c r="I29" s="2" t="n"/>
      <c r="J29" s="2" t="n"/>
      <c r="K29" s="2" t="n"/>
      <c r="L29" s="2" t="n"/>
    </row>
    <row r="30">
      <c r="A30" s="14" t="n"/>
      <c r="B30" s="14" t="n"/>
      <c r="C30" s="2" t="n"/>
      <c r="D30" s="3" t="n"/>
      <c r="E30" s="3" t="n"/>
      <c r="F30" s="2" t="n"/>
      <c r="G30" s="2" t="n"/>
      <c r="H30" s="2" t="n"/>
      <c r="I30" s="2" t="n"/>
      <c r="J30" s="2" t="n"/>
      <c r="K30" s="2" t="n"/>
      <c r="L30" s="2" t="n"/>
    </row>
    <row r="31">
      <c r="A31" s="14" t="n"/>
      <c r="B31" s="14" t="n"/>
      <c r="C31" s="2" t="n"/>
      <c r="D31" s="3" t="n"/>
      <c r="E31" s="3" t="n"/>
      <c r="F31" s="2" t="n"/>
      <c r="G31" s="2" t="n"/>
      <c r="H31" s="2" t="n"/>
      <c r="I31" s="2" t="n"/>
      <c r="J31" s="2" t="n"/>
      <c r="K31" s="2" t="n"/>
      <c r="L31" s="2" t="n"/>
    </row>
    <row r="32">
      <c r="A32" s="14" t="n"/>
      <c r="C32" s="2" t="n"/>
      <c r="D32" s="3" t="n"/>
      <c r="E32" s="3" t="n"/>
      <c r="F32" s="2" t="n"/>
      <c r="G32" s="2" t="n"/>
      <c r="H32" s="2" t="n"/>
      <c r="I32" s="2" t="n"/>
      <c r="J32" s="2" t="n"/>
      <c r="K32" s="2" t="n"/>
      <c r="L32" s="2" t="n"/>
    </row>
    <row r="33">
      <c r="A33" s="14" t="n"/>
      <c r="C33" s="2" t="n"/>
      <c r="D33" s="3" t="n"/>
      <c r="E33" s="3" t="n"/>
      <c r="F33" s="2" t="n"/>
      <c r="G33" s="2" t="n"/>
      <c r="H33" s="2" t="n"/>
      <c r="I33" s="2" t="n"/>
      <c r="J33" s="2" t="n"/>
      <c r="K33" s="2" t="n"/>
      <c r="L33" s="2" t="n"/>
    </row>
    <row r="34">
      <c r="A34" s="14" t="n"/>
      <c r="C34" s="2" t="n"/>
      <c r="D34" s="3" t="n"/>
      <c r="E34" s="3" t="n"/>
      <c r="F34" s="2" t="n"/>
      <c r="G34" s="2" t="n"/>
      <c r="H34" s="2" t="n"/>
      <c r="I34" s="2" t="n"/>
      <c r="J34" s="2" t="n"/>
      <c r="K34" s="2" t="n"/>
      <c r="L34" s="2" t="n"/>
    </row>
    <row r="35">
      <c r="A35" s="14" t="n"/>
      <c r="C35" s="2" t="n"/>
      <c r="D35" s="3" t="n"/>
      <c r="E35" s="3" t="n"/>
      <c r="F35" s="2" t="n"/>
      <c r="G35" s="2" t="n"/>
      <c r="H35" s="2" t="n"/>
      <c r="I35" s="2" t="n"/>
      <c r="J35" s="2" t="n"/>
      <c r="K35" s="2" t="n"/>
      <c r="L35" s="2" t="n"/>
    </row>
    <row r="36">
      <c r="A36" s="14" t="n"/>
      <c r="C36" s="2" t="n"/>
      <c r="D36" s="3" t="n"/>
      <c r="E36" s="3" t="n"/>
      <c r="F36" s="2" t="n"/>
      <c r="G36" s="2" t="n"/>
      <c r="H36" s="2" t="n"/>
      <c r="I36" s="2" t="n"/>
      <c r="J36" s="2" t="n"/>
      <c r="K36" s="2" t="n"/>
      <c r="L36" s="2" t="n"/>
    </row>
    <row r="37">
      <c r="A37" s="14" t="n"/>
      <c r="C37" s="2" t="n"/>
      <c r="D37" s="3" t="n"/>
      <c r="E37" s="3" t="n"/>
      <c r="F37" s="2" t="n"/>
      <c r="G37" s="2" t="n"/>
      <c r="H37" s="2" t="n"/>
      <c r="I37" s="2" t="n"/>
      <c r="J37" s="2" t="n"/>
      <c r="K37" s="2" t="n"/>
      <c r="L37" s="2" t="n"/>
    </row>
    <row r="38">
      <c r="A38" s="14" t="n"/>
      <c r="C38" s="2" t="n"/>
      <c r="D38" s="3" t="n"/>
      <c r="E38" s="3" t="n"/>
      <c r="F38" s="2" t="n"/>
      <c r="G38" s="2" t="n"/>
      <c r="H38" s="2" t="n"/>
      <c r="I38" s="2" t="n"/>
      <c r="J38" s="2" t="n"/>
      <c r="K38" s="2" t="n"/>
      <c r="L38" s="2" t="n"/>
    </row>
    <row r="39">
      <c r="A39" s="14" t="n"/>
      <c r="C39" s="2" t="n"/>
      <c r="D39" s="3" t="n"/>
      <c r="E39" s="3" t="n"/>
      <c r="F39" s="2" t="n"/>
      <c r="G39" s="2" t="n"/>
      <c r="H39" s="2" t="n"/>
      <c r="I39" s="2" t="n"/>
      <c r="J39" s="2" t="n"/>
      <c r="K39" s="2" t="n"/>
      <c r="L39" s="2" t="n"/>
    </row>
    <row r="40">
      <c r="A40" s="14" t="n"/>
      <c r="C40" s="2" t="n"/>
      <c r="D40" s="3" t="n"/>
      <c r="E40" s="3" t="n"/>
      <c r="F40" s="2" t="n"/>
      <c r="G40" s="2" t="n"/>
      <c r="H40" s="2" t="n"/>
      <c r="I40" s="2" t="n"/>
      <c r="J40" s="2" t="n"/>
      <c r="K40" s="2" t="n"/>
      <c r="L40" s="2" t="n"/>
    </row>
    <row r="41">
      <c r="A41" s="14" t="n"/>
      <c r="C41" s="2" t="n"/>
      <c r="D41" s="3" t="n"/>
      <c r="E41" s="3" t="n"/>
      <c r="F41" s="2" t="n"/>
      <c r="G41" s="2" t="n"/>
      <c r="H41" s="2" t="n"/>
      <c r="I41" s="2" t="n"/>
      <c r="J41" s="2" t="n"/>
      <c r="K41" s="2" t="n"/>
      <c r="L41" s="2" t="n"/>
    </row>
    <row r="42">
      <c r="A42" s="14" t="n"/>
      <c r="C42" s="2" t="n"/>
      <c r="D42" s="3" t="n"/>
      <c r="E42" s="3" t="n"/>
      <c r="F42" s="2" t="n"/>
      <c r="G42" s="2" t="n"/>
      <c r="H42" s="2" t="n"/>
      <c r="I42" s="2" t="n"/>
      <c r="J42" s="2" t="n"/>
      <c r="K42" s="2" t="n"/>
      <c r="L42" s="2" t="n"/>
    </row>
    <row r="43">
      <c r="A43" s="14" t="n"/>
      <c r="C43" s="2" t="n"/>
      <c r="D43" s="3" t="n"/>
      <c r="E43" s="3" t="n"/>
      <c r="F43" s="2" t="n"/>
      <c r="G43" s="2" t="n"/>
      <c r="H43" s="2" t="n"/>
      <c r="I43" s="2" t="n"/>
      <c r="J43" s="2" t="n"/>
      <c r="K43" s="2" t="n"/>
      <c r="L43" s="2" t="n"/>
    </row>
    <row r="44">
      <c r="A44" s="14" t="n"/>
      <c r="C44" s="2" t="n"/>
      <c r="D44" s="3" t="n"/>
      <c r="E44" s="3" t="n"/>
      <c r="F44" s="2" t="n"/>
      <c r="G44" s="2" t="n"/>
      <c r="H44" s="2" t="n"/>
      <c r="I44" s="2" t="n"/>
      <c r="J44" s="2" t="n"/>
      <c r="K44" s="2" t="n"/>
      <c r="L44" s="2" t="n"/>
    </row>
    <row r="45">
      <c r="A45" s="14" t="n"/>
      <c r="C45" s="2" t="n"/>
      <c r="D45" s="3" t="n"/>
      <c r="E45" s="3" t="n"/>
      <c r="F45" s="2" t="n"/>
      <c r="G45" s="2" t="n"/>
      <c r="H45" s="2" t="n"/>
      <c r="I45" s="2" t="n"/>
      <c r="J45" s="2" t="n"/>
      <c r="K45" s="2" t="n"/>
      <c r="L45" s="2" t="n"/>
    </row>
    <row r="46">
      <c r="A46" s="14" t="n"/>
      <c r="C46" s="2" t="n"/>
      <c r="D46" s="3" t="n"/>
      <c r="E46" s="3" t="n"/>
      <c r="F46" s="2" t="n"/>
      <c r="G46" s="2" t="n"/>
      <c r="H46" s="2" t="n"/>
      <c r="I46" s="2" t="n"/>
      <c r="J46" s="2" t="n"/>
      <c r="K46" s="2" t="n"/>
      <c r="L46" s="2" t="n"/>
    </row>
    <row r="47">
      <c r="A47" s="14" t="n"/>
      <c r="C47" s="2" t="n"/>
      <c r="D47" s="3" t="n"/>
      <c r="E47" s="3" t="n"/>
      <c r="F47" s="2" t="n"/>
      <c r="G47" s="2" t="n"/>
      <c r="H47" s="2" t="n"/>
      <c r="I47" s="2" t="n"/>
      <c r="J47" s="2" t="n"/>
      <c r="K47" s="2" t="n"/>
      <c r="L47" s="2" t="n"/>
    </row>
    <row r="48">
      <c r="A48" s="14" t="n"/>
      <c r="C48" s="2" t="n"/>
      <c r="D48" s="3" t="n"/>
      <c r="E48" s="3" t="n"/>
      <c r="F48" s="2" t="n"/>
      <c r="G48" s="2" t="n"/>
      <c r="H48" s="2" t="n"/>
      <c r="I48" s="2" t="n"/>
      <c r="J48" s="2" t="n"/>
      <c r="K48" s="2" t="n"/>
      <c r="L48" s="2" t="n"/>
    </row>
    <row r="49">
      <c r="A49" s="14" t="n"/>
      <c r="C49" s="2" t="n"/>
      <c r="D49" s="3" t="n"/>
      <c r="E49" s="3" t="n"/>
      <c r="F49" s="2" t="n"/>
      <c r="G49" s="2" t="n"/>
      <c r="H49" s="2" t="n"/>
      <c r="I49" s="2" t="n"/>
      <c r="J49" s="2" t="n"/>
      <c r="K49" s="2" t="n"/>
      <c r="L49" s="2" t="n"/>
    </row>
    <row r="50">
      <c r="A50" s="14" t="n"/>
      <c r="C50" s="2" t="n"/>
      <c r="D50" s="3" t="n"/>
      <c r="E50" s="3" t="n"/>
      <c r="F50" s="2" t="n"/>
      <c r="G50" s="2" t="n"/>
      <c r="H50" s="2" t="n"/>
      <c r="I50" s="2" t="n"/>
      <c r="J50" s="2" t="n"/>
      <c r="K50" s="2" t="n"/>
      <c r="L50" s="2" t="n"/>
    </row>
    <row r="51">
      <c r="A51" s="14" t="n"/>
      <c r="C51" s="2" t="n"/>
      <c r="D51" s="3" t="n"/>
      <c r="E51" s="3" t="n"/>
      <c r="F51" s="2" t="n"/>
      <c r="G51" s="2" t="n"/>
      <c r="H51" s="2" t="n"/>
      <c r="I51" s="2" t="n"/>
      <c r="J51" s="2" t="n"/>
      <c r="K51" s="2" t="n"/>
      <c r="L51" s="2" t="n"/>
    </row>
    <row r="52">
      <c r="A52" s="14" t="n"/>
      <c r="C52" s="2" t="n"/>
      <c r="D52" s="3" t="n"/>
      <c r="E52" s="3" t="n"/>
      <c r="F52" s="2" t="n"/>
      <c r="G52" s="2" t="n"/>
      <c r="H52" s="2" t="n"/>
      <c r="I52" s="2" t="n"/>
      <c r="J52" s="2" t="n"/>
      <c r="K52" s="2" t="n"/>
      <c r="L52" s="2" t="n"/>
    </row>
    <row r="53">
      <c r="A53" s="14" t="n"/>
      <c r="C53" s="2" t="n"/>
      <c r="D53" s="3" t="n"/>
      <c r="E53" s="3" t="n"/>
      <c r="F53" s="2" t="n"/>
      <c r="G53" s="2" t="n"/>
      <c r="H53" s="2" t="n"/>
      <c r="I53" s="2" t="n"/>
      <c r="J53" s="2" t="n"/>
      <c r="K53" s="2" t="n"/>
      <c r="L53" s="2" t="n"/>
    </row>
    <row r="54">
      <c r="A54" s="14" t="n"/>
      <c r="C54" s="2" t="n"/>
      <c r="D54" s="3" t="n"/>
      <c r="E54" s="3" t="n"/>
      <c r="F54" s="2" t="n"/>
      <c r="G54" s="2" t="n"/>
      <c r="H54" s="2" t="n"/>
      <c r="I54" s="2" t="n"/>
      <c r="J54" s="2" t="n"/>
      <c r="K54" s="2" t="n"/>
      <c r="L54" s="2" t="n"/>
    </row>
    <row r="55">
      <c r="A55" s="14" t="n"/>
      <c r="C55" s="2" t="n"/>
      <c r="D55" s="3" t="n"/>
      <c r="E55" s="3" t="n"/>
      <c r="F55" s="2" t="n"/>
      <c r="G55" s="2" t="n"/>
      <c r="H55" s="2" t="n"/>
      <c r="I55" s="2" t="n"/>
      <c r="J55" s="2" t="n"/>
      <c r="K55" s="2" t="n"/>
      <c r="L55" s="2" t="n"/>
    </row>
    <row r="56">
      <c r="A56" s="14" t="n"/>
      <c r="C56" s="2" t="n"/>
      <c r="D56" s="3" t="n"/>
      <c r="E56" s="3" t="n"/>
      <c r="F56" s="2" t="n"/>
      <c r="G56" s="2" t="n"/>
      <c r="H56" s="2" t="n"/>
      <c r="I56" s="2" t="n"/>
      <c r="J56" s="2" t="n"/>
      <c r="K56" s="2" t="n"/>
      <c r="L56" s="2" t="n"/>
    </row>
    <row r="57">
      <c r="A57" s="14" t="n"/>
      <c r="C57" s="2" t="n"/>
      <c r="D57" s="3" t="n"/>
      <c r="E57" s="3" t="n"/>
      <c r="F57" s="2" t="n"/>
      <c r="G57" s="2" t="n"/>
      <c r="H57" s="2" t="n"/>
      <c r="I57" s="2" t="n"/>
      <c r="J57" s="2" t="n"/>
      <c r="K57" s="2" t="n"/>
      <c r="L57" s="2" t="n"/>
    </row>
    <row r="58">
      <c r="A58" s="14" t="n"/>
      <c r="C58" s="2" t="n"/>
      <c r="D58" s="3" t="n"/>
      <c r="E58" s="3" t="n"/>
      <c r="F58" s="2" t="n"/>
      <c r="G58" s="2" t="n"/>
      <c r="H58" s="2" t="n"/>
      <c r="I58" s="2" t="n"/>
      <c r="J58" s="2" t="n"/>
      <c r="K58" s="2" t="n"/>
      <c r="L58" s="2" t="n"/>
    </row>
    <row r="59">
      <c r="A59" s="14" t="n"/>
      <c r="C59" s="2" t="n"/>
      <c r="D59" s="3" t="n"/>
      <c r="E59" s="3" t="n"/>
      <c r="F59" s="2" t="n"/>
      <c r="G59" s="2" t="n"/>
      <c r="H59" s="2" t="n"/>
      <c r="I59" s="2" t="n"/>
      <c r="J59" s="2" t="n"/>
      <c r="K59" s="2" t="n"/>
      <c r="L59" s="2" t="n"/>
    </row>
    <row r="60">
      <c r="A60" s="14" t="n"/>
      <c r="C60" s="2" t="n"/>
      <c r="D60" s="3" t="n"/>
      <c r="E60" s="3" t="n"/>
      <c r="F60" s="2" t="n"/>
      <c r="G60" s="2" t="n"/>
      <c r="H60" s="2" t="n"/>
      <c r="I60" s="2" t="n"/>
      <c r="J60" s="2" t="n"/>
      <c r="K60" s="2" t="n"/>
      <c r="L60" s="2" t="n"/>
    </row>
    <row r="61">
      <c r="A61" s="14" t="n"/>
      <c r="C61" s="2" t="n"/>
      <c r="D61" s="3" t="n"/>
      <c r="E61" s="3" t="n"/>
      <c r="F61" s="2" t="n"/>
      <c r="G61" s="2" t="n"/>
      <c r="H61" s="2" t="n"/>
      <c r="I61" s="2" t="n"/>
      <c r="J61" s="2" t="n"/>
      <c r="K61" s="2" t="n"/>
      <c r="L61" s="2" t="n"/>
    </row>
    <row r="62">
      <c r="A62" s="14" t="n"/>
      <c r="C62" s="2" t="n"/>
      <c r="D62" s="3" t="n"/>
      <c r="E62" s="3" t="n"/>
      <c r="F62" s="2" t="n"/>
      <c r="G62" s="2" t="n"/>
      <c r="H62" s="2" t="n"/>
      <c r="I62" s="2" t="n"/>
      <c r="J62" s="2" t="n"/>
      <c r="K62" s="2" t="n"/>
      <c r="L62" s="2" t="n"/>
    </row>
    <row r="63">
      <c r="A63" s="14" t="n"/>
      <c r="C63" s="2" t="n"/>
      <c r="D63" s="3" t="n"/>
      <c r="E63" s="3" t="n"/>
      <c r="F63" s="2" t="n"/>
      <c r="G63" s="2" t="n"/>
      <c r="H63" s="2" t="n"/>
      <c r="I63" s="2" t="n"/>
      <c r="J63" s="2" t="n"/>
      <c r="K63" s="2" t="n"/>
      <c r="L63" s="2" t="n"/>
    </row>
    <row r="64">
      <c r="A64" s="14" t="n"/>
      <c r="C64" s="2" t="n"/>
      <c r="D64" s="3" t="n"/>
      <c r="E64" s="3" t="n"/>
      <c r="F64" s="2" t="n"/>
      <c r="G64" s="2" t="n"/>
      <c r="H64" s="2" t="n"/>
      <c r="I64" s="2" t="n"/>
      <c r="J64" s="2" t="n"/>
      <c r="K64" s="2" t="n"/>
      <c r="L64" s="2" t="n"/>
    </row>
    <row r="65">
      <c r="A65" s="14" t="n"/>
      <c r="C65" s="2" t="n"/>
      <c r="D65" s="3" t="n"/>
      <c r="E65" s="3" t="n"/>
      <c r="F65" s="2" t="n"/>
      <c r="G65" s="2" t="n"/>
      <c r="H65" s="2" t="n"/>
      <c r="I65" s="2" t="n"/>
      <c r="J65" s="2" t="n"/>
      <c r="K65" s="2" t="n"/>
      <c r="L65" s="2" t="n"/>
    </row>
    <row r="66">
      <c r="A66" s="14" t="n"/>
      <c r="C66" s="2" t="n"/>
      <c r="D66" s="3" t="n"/>
      <c r="E66" s="3" t="n"/>
      <c r="F66" s="2" t="n"/>
      <c r="G66" s="2" t="n"/>
      <c r="H66" s="2" t="n"/>
      <c r="I66" s="2" t="n"/>
      <c r="J66" s="2" t="n"/>
      <c r="K66" s="2" t="n"/>
      <c r="L66" s="2" t="n"/>
    </row>
    <row r="67">
      <c r="B67" s="7" t="n"/>
      <c r="D67" s="1" t="n"/>
      <c r="E67" s="1" t="n"/>
      <c r="J67" s="5" t="n"/>
      <c r="K67" s="5" t="n"/>
      <c r="L67" s="4" t="n"/>
    </row>
    <row r="68">
      <c r="D68" s="1" t="n"/>
      <c r="E68" s="1" t="n"/>
    </row>
    <row r="69">
      <c r="D69" s="1" t="n"/>
      <c r="E69" s="1" t="n"/>
    </row>
    <row r="73">
      <c r="D73" s="1" t="n"/>
    </row>
    <row r="74">
      <c r="D74" s="1" t="n"/>
    </row>
    <row r="75">
      <c r="D75" s="1" t="n"/>
    </row>
    <row r="76">
      <c r="D76" s="1" t="n"/>
    </row>
    <row r="77">
      <c r="D77" s="1" t="n"/>
    </row>
    <row r="78">
      <c r="D78" s="1" t="n"/>
    </row>
  </sheetData>
  <mergeCells count="1">
    <mergeCell ref="C4:I4"/>
  </mergeCells>
  <printOptions horizontalCentered="1"/>
  <pageMargins left="0.7480314960629921" right="0.7480314960629921" top="0.984251968503937" bottom="0.984251968503937" header="0.5118110236220472" footer="0.5118110236220472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 codeName="Blad3">
    <outlinePr summaryBelow="1" summaryRight="1"/>
    <pageSetUpPr/>
  </sheetPr>
  <dimension ref="A1:J287"/>
  <sheetViews>
    <sheetView topLeftCell="A214" workbookViewId="0">
      <selection activeCell="F297" sqref="F297"/>
    </sheetView>
  </sheetViews>
  <sheetFormatPr baseColWidth="8" defaultRowHeight="12.75"/>
  <cols>
    <col hidden="1" width="9.140625" customWidth="1" min="1" max="1"/>
    <col width="10.5703125" customWidth="1" style="8" min="2" max="2"/>
    <col width="12" customWidth="1" style="8" min="3" max="3"/>
    <col width="43.7109375" customWidth="1" style="10" min="4" max="4"/>
    <col width="49.140625" bestFit="1" customWidth="1" style="8" min="5" max="5"/>
    <col width="24.85546875" customWidth="1" style="8" min="6" max="6"/>
    <col width="13" customWidth="1" style="8" min="7" max="7"/>
    <col width="12.7109375" customWidth="1" style="8" min="8" max="8"/>
    <col width="14.28515625" bestFit="1" customWidth="1" style="8" min="9" max="9"/>
    <col width="9.140625" customWidth="1" style="8" min="10" max="10"/>
  </cols>
  <sheetData>
    <row r="1" hidden="1">
      <c r="A1" t="inlineStr">
        <is>
          <t>Auto+Verbergen</t>
        </is>
      </c>
    </row>
    <row r="4">
      <c r="C4" s="8" t="inlineStr">
        <is>
          <t>AF</t>
        </is>
      </c>
      <c r="D4" s="10" t="inlineStr">
        <is>
          <t>Afghanistan</t>
        </is>
      </c>
      <c r="E4" s="8" t="inlineStr">
        <is>
          <t>The Islamic Republic of Afghanistan</t>
        </is>
      </c>
      <c r="F4" s="8" t="inlineStr">
        <is>
          <t>UN member state</t>
        </is>
      </c>
      <c r="G4" s="8" t="inlineStr">
        <is>
          <t>AFG</t>
        </is>
      </c>
      <c r="H4" s="8" t="n">
        <v>4</v>
      </c>
      <c r="I4" s="8" t="inlineStr">
        <is>
          <t>ISO 3166-2:AF</t>
        </is>
      </c>
      <c r="J4" s="8" t="inlineStr">
        <is>
          <t>.af</t>
        </is>
      </c>
    </row>
    <row r="5" ht="12.75" customHeight="1">
      <c r="D5" s="10" t="inlineStr">
        <is>
          <t>Akrotiri and Dhekelia</t>
        </is>
      </c>
    </row>
    <row r="6">
      <c r="C6" s="8" t="inlineStr">
        <is>
          <t>AX</t>
        </is>
      </c>
      <c r="D6" s="10" t="inlineStr">
        <is>
          <t>Åland Islands</t>
        </is>
      </c>
      <c r="E6" s="8" t="inlineStr">
        <is>
          <t>Åland</t>
        </is>
      </c>
      <c r="F6" s="8" t="inlineStr">
        <is>
          <t>Finland</t>
        </is>
      </c>
      <c r="G6" s="8" t="inlineStr">
        <is>
          <t>ALA</t>
        </is>
      </c>
      <c r="H6" s="8" t="n">
        <v>248</v>
      </c>
      <c r="I6" s="8" t="inlineStr">
        <is>
          <t>ISO 3166-2:AX</t>
        </is>
      </c>
      <c r="J6" s="8" t="inlineStr">
        <is>
          <t>.ax</t>
        </is>
      </c>
    </row>
    <row r="7">
      <c r="C7" s="8" t="inlineStr">
        <is>
          <t>AL</t>
        </is>
      </c>
      <c r="D7" s="10" t="inlineStr">
        <is>
          <t>Albania</t>
        </is>
      </c>
      <c r="E7" s="8" t="inlineStr">
        <is>
          <t>The Republic of Albania</t>
        </is>
      </c>
      <c r="F7" s="9" t="inlineStr">
        <is>
          <t>UN member state</t>
        </is>
      </c>
      <c r="G7" s="8" t="inlineStr">
        <is>
          <t>ALB</t>
        </is>
      </c>
      <c r="H7" s="8" t="n">
        <v>8</v>
      </c>
      <c r="I7" s="8" t="inlineStr">
        <is>
          <t>ISO 3166-2:AL</t>
        </is>
      </c>
      <c r="J7" s="8" t="inlineStr">
        <is>
          <t>.al</t>
        </is>
      </c>
    </row>
    <row r="8">
      <c r="C8" s="8" t="inlineStr">
        <is>
          <t>DZ</t>
        </is>
      </c>
      <c r="D8" s="10" t="inlineStr">
        <is>
          <t>Algeria</t>
        </is>
      </c>
      <c r="E8" s="8" t="inlineStr">
        <is>
          <t>The People's Democratic Republic of Algeria</t>
        </is>
      </c>
      <c r="F8" s="9" t="inlineStr">
        <is>
          <t>UN member state</t>
        </is>
      </c>
      <c r="G8" s="8" t="inlineStr">
        <is>
          <t>DZA</t>
        </is>
      </c>
      <c r="H8" s="8" t="n">
        <v>12</v>
      </c>
      <c r="I8" s="8" t="inlineStr">
        <is>
          <t>ISO 3166-2:DZ</t>
        </is>
      </c>
      <c r="J8" s="8" t="inlineStr">
        <is>
          <t>.dz</t>
        </is>
      </c>
    </row>
    <row r="9">
      <c r="C9" s="8" t="inlineStr">
        <is>
          <t>AS</t>
        </is>
      </c>
      <c r="D9" s="10" t="inlineStr">
        <is>
          <t>American Samoa</t>
        </is>
      </c>
      <c r="E9" s="8" t="inlineStr">
        <is>
          <t>The Territory of American Samoa</t>
        </is>
      </c>
      <c r="F9" s="8" t="inlineStr">
        <is>
          <t>United States</t>
        </is>
      </c>
      <c r="G9" s="8" t="inlineStr">
        <is>
          <t>ASM</t>
        </is>
      </c>
      <c r="H9" s="8" t="n">
        <v>16</v>
      </c>
      <c r="I9" s="8" t="inlineStr">
        <is>
          <t>ISO 3166-2:AS</t>
        </is>
      </c>
      <c r="J9" s="8" t="inlineStr">
        <is>
          <t>.as</t>
        </is>
      </c>
    </row>
    <row r="10">
      <c r="C10" s="8" t="inlineStr">
        <is>
          <t>AD</t>
        </is>
      </c>
      <c r="D10" s="10" t="inlineStr">
        <is>
          <t>Andorra</t>
        </is>
      </c>
      <c r="E10" s="8" t="inlineStr">
        <is>
          <t>The Principality of Andorra</t>
        </is>
      </c>
      <c r="F10" s="9" t="inlineStr">
        <is>
          <t>UN member state</t>
        </is>
      </c>
      <c r="G10" s="8" t="inlineStr">
        <is>
          <t>AND</t>
        </is>
      </c>
      <c r="H10" s="8" t="n">
        <v>20</v>
      </c>
      <c r="I10" s="8" t="inlineStr">
        <is>
          <t>ISO 3166-2:AD</t>
        </is>
      </c>
      <c r="J10" s="8" t="inlineStr">
        <is>
          <t>.ad</t>
        </is>
      </c>
    </row>
    <row r="11">
      <c r="C11" s="8" t="inlineStr">
        <is>
          <t>AO</t>
        </is>
      </c>
      <c r="D11" s="10" t="inlineStr">
        <is>
          <t>Angola</t>
        </is>
      </c>
      <c r="E11" s="8" t="inlineStr">
        <is>
          <t>The Republic of Angola</t>
        </is>
      </c>
      <c r="F11" s="9" t="inlineStr">
        <is>
          <t>UN member state</t>
        </is>
      </c>
      <c r="G11" s="8" t="inlineStr">
        <is>
          <t>AGO</t>
        </is>
      </c>
      <c r="H11" s="8" t="n">
        <v>24</v>
      </c>
      <c r="I11" s="8" t="inlineStr">
        <is>
          <t>ISO 3166-2:AO</t>
        </is>
      </c>
      <c r="J11" s="8" t="inlineStr">
        <is>
          <t>.ao</t>
        </is>
      </c>
    </row>
    <row r="12">
      <c r="C12" s="8" t="inlineStr">
        <is>
          <t>AI</t>
        </is>
      </c>
      <c r="D12" s="10" t="inlineStr">
        <is>
          <t>Anguilla</t>
        </is>
      </c>
      <c r="E12" s="8" t="inlineStr">
        <is>
          <t>Anguilla</t>
        </is>
      </c>
      <c r="F12" s="8" t="inlineStr">
        <is>
          <t>United Kingdom</t>
        </is>
      </c>
      <c r="G12" s="8" t="inlineStr">
        <is>
          <t>AIA</t>
        </is>
      </c>
      <c r="H12" s="8" t="n">
        <v>660</v>
      </c>
      <c r="I12" s="8" t="inlineStr">
        <is>
          <t>ISO 3166-2:AI</t>
        </is>
      </c>
      <c r="J12" s="8" t="inlineStr">
        <is>
          <t>.ai</t>
        </is>
      </c>
    </row>
    <row r="13" ht="14.25" customHeight="1">
      <c r="C13" s="8" t="inlineStr">
        <is>
          <t>AQ</t>
        </is>
      </c>
      <c r="D13" s="10" t="inlineStr">
        <is>
          <t>Antarctica</t>
        </is>
      </c>
      <c r="E13" s="8" t="inlineStr">
        <is>
          <t>All land and ice shelves south of the 60th parallel south</t>
        </is>
      </c>
      <c r="F13" s="8" t="inlineStr">
        <is>
          <t>Antarctic Treaty</t>
        </is>
      </c>
      <c r="G13" s="8" t="inlineStr">
        <is>
          <t>ATA</t>
        </is>
      </c>
      <c r="H13" s="8" t="n">
        <v>10</v>
      </c>
      <c r="I13" s="8" t="inlineStr">
        <is>
          <t>ISO 3166-2:AQ</t>
        </is>
      </c>
      <c r="J13" s="8" t="inlineStr">
        <is>
          <t>.aq</t>
        </is>
      </c>
    </row>
    <row r="14">
      <c r="C14" s="8" t="inlineStr">
        <is>
          <t>AG</t>
        </is>
      </c>
      <c r="D14" s="10" t="inlineStr">
        <is>
          <t>Antigua and Barbuda</t>
        </is>
      </c>
      <c r="E14" s="8" t="inlineStr">
        <is>
          <t>Antigua and Barbuda</t>
        </is>
      </c>
      <c r="F14" s="9" t="inlineStr">
        <is>
          <t>UN member state</t>
        </is>
      </c>
      <c r="G14" s="8" t="inlineStr">
        <is>
          <t>ATG</t>
        </is>
      </c>
      <c r="H14" s="8" t="n">
        <v>28</v>
      </c>
      <c r="I14" s="8" t="inlineStr">
        <is>
          <t>ISO 3166-2:AG</t>
        </is>
      </c>
      <c r="J14" s="8" t="inlineStr">
        <is>
          <t>.ag</t>
        </is>
      </c>
    </row>
    <row r="15">
      <c r="C15" s="8" t="inlineStr">
        <is>
          <t>AR</t>
        </is>
      </c>
      <c r="D15" s="10" t="inlineStr">
        <is>
          <t>Argentina</t>
        </is>
      </c>
      <c r="E15" s="8" t="inlineStr">
        <is>
          <t>The Argentine Republic</t>
        </is>
      </c>
      <c r="F15" s="9" t="inlineStr">
        <is>
          <t>UN member state</t>
        </is>
      </c>
      <c r="G15" s="8" t="inlineStr">
        <is>
          <t>ARG</t>
        </is>
      </c>
      <c r="H15" s="8" t="n">
        <v>32</v>
      </c>
      <c r="I15" s="8" t="inlineStr">
        <is>
          <t>ISO 3166-2:AR</t>
        </is>
      </c>
      <c r="J15" s="8" t="inlineStr">
        <is>
          <t>.ar</t>
        </is>
      </c>
    </row>
    <row r="16">
      <c r="C16" s="8" t="inlineStr">
        <is>
          <t>AM</t>
        </is>
      </c>
      <c r="D16" s="10" t="inlineStr">
        <is>
          <t>Armenia</t>
        </is>
      </c>
      <c r="E16" s="8" t="inlineStr">
        <is>
          <t>The Republic of Armenia</t>
        </is>
      </c>
      <c r="F16" s="9" t="inlineStr">
        <is>
          <t>UN member state</t>
        </is>
      </c>
      <c r="G16" s="8" t="inlineStr">
        <is>
          <t>ARM</t>
        </is>
      </c>
      <c r="H16" s="8" t="n">
        <v>51</v>
      </c>
      <c r="I16" s="8" t="inlineStr">
        <is>
          <t>ISO 3166-2:AM</t>
        </is>
      </c>
      <c r="J16" s="8" t="inlineStr">
        <is>
          <t>.am</t>
        </is>
      </c>
    </row>
    <row r="17">
      <c r="C17" s="8" t="inlineStr">
        <is>
          <t>AW</t>
        </is>
      </c>
      <c r="D17" s="10" t="inlineStr">
        <is>
          <t>Aruba</t>
        </is>
      </c>
      <c r="E17" s="8" t="inlineStr">
        <is>
          <t>Aruba</t>
        </is>
      </c>
      <c r="F17" s="8" t="inlineStr">
        <is>
          <t>Netherlands</t>
        </is>
      </c>
      <c r="G17" s="8" t="inlineStr">
        <is>
          <t>ABW</t>
        </is>
      </c>
      <c r="H17" s="8" t="n">
        <v>533</v>
      </c>
      <c r="I17" s="8" t="inlineStr">
        <is>
          <t>ISO 3166-2:AW</t>
        </is>
      </c>
      <c r="J17" s="8" t="inlineStr">
        <is>
          <t>.aw</t>
        </is>
      </c>
    </row>
    <row r="18" ht="14.25" customHeight="1">
      <c r="C18" s="8" t="inlineStr">
        <is>
          <t>AU</t>
        </is>
      </c>
      <c r="D18" s="10" t="inlineStr">
        <is>
          <t xml:space="preserve">Australia </t>
        </is>
      </c>
      <c r="E18" s="8" t="inlineStr">
        <is>
          <t>The Commonwealth of Australia</t>
        </is>
      </c>
      <c r="F18" s="9" t="inlineStr">
        <is>
          <t>UN member state</t>
        </is>
      </c>
      <c r="G18" s="8" t="inlineStr">
        <is>
          <t>AUS</t>
        </is>
      </c>
      <c r="H18" s="8" t="n">
        <v>36</v>
      </c>
      <c r="I18" s="8" t="inlineStr">
        <is>
          <t>ISO 3166-2:AU</t>
        </is>
      </c>
      <c r="J18" s="8" t="inlineStr">
        <is>
          <t>.au</t>
        </is>
      </c>
    </row>
    <row r="19">
      <c r="C19" s="8" t="inlineStr">
        <is>
          <t>AT</t>
        </is>
      </c>
      <c r="D19" s="10" t="inlineStr">
        <is>
          <t>Austria</t>
        </is>
      </c>
      <c r="E19" s="8" t="inlineStr">
        <is>
          <t>The Republic of Austria</t>
        </is>
      </c>
      <c r="F19" s="9" t="inlineStr">
        <is>
          <t>UN member state</t>
        </is>
      </c>
      <c r="G19" s="8" t="inlineStr">
        <is>
          <t>AUT</t>
        </is>
      </c>
      <c r="H19" s="8" t="n">
        <v>40</v>
      </c>
      <c r="I19" s="8" t="inlineStr">
        <is>
          <t>ISO 3166-2:AT</t>
        </is>
      </c>
      <c r="J19" s="8" t="inlineStr">
        <is>
          <t>.at</t>
        </is>
      </c>
    </row>
    <row r="20">
      <c r="C20" s="8" t="inlineStr">
        <is>
          <t>AZ</t>
        </is>
      </c>
      <c r="D20" s="10" t="inlineStr">
        <is>
          <t>Azerbaijan</t>
        </is>
      </c>
      <c r="E20" s="8" t="inlineStr">
        <is>
          <t>The Republic of Azerbaijan</t>
        </is>
      </c>
      <c r="F20" s="9" t="inlineStr">
        <is>
          <t>UN member state</t>
        </is>
      </c>
      <c r="G20" s="8" t="inlineStr">
        <is>
          <t>AZE</t>
        </is>
      </c>
      <c r="H20" s="8" t="n">
        <v>31</v>
      </c>
      <c r="I20" s="8" t="inlineStr">
        <is>
          <t>ISO 3166-2:AZ</t>
        </is>
      </c>
      <c r="J20" s="8" t="inlineStr">
        <is>
          <t>.az</t>
        </is>
      </c>
    </row>
    <row r="21">
      <c r="C21" s="8" t="inlineStr">
        <is>
          <t>BS</t>
        </is>
      </c>
      <c r="D21" s="10" t="inlineStr">
        <is>
          <t>Bahamas</t>
        </is>
      </c>
      <c r="E21" s="8" t="inlineStr">
        <is>
          <t>The Commonwealth of The Bahamas</t>
        </is>
      </c>
      <c r="F21" s="9" t="inlineStr">
        <is>
          <t>UN member state</t>
        </is>
      </c>
      <c r="G21" s="8" t="inlineStr">
        <is>
          <t>BHS</t>
        </is>
      </c>
      <c r="H21" s="8" t="n">
        <v>44</v>
      </c>
      <c r="I21" s="8" t="inlineStr">
        <is>
          <t>ISO 3166-2:BS</t>
        </is>
      </c>
      <c r="J21" s="8" t="inlineStr">
        <is>
          <t>.bs</t>
        </is>
      </c>
    </row>
    <row r="22">
      <c r="C22" s="8" t="inlineStr">
        <is>
          <t>BH</t>
        </is>
      </c>
      <c r="D22" s="10" t="inlineStr">
        <is>
          <t>Bahrain</t>
        </is>
      </c>
      <c r="E22" s="8" t="inlineStr">
        <is>
          <t>The Kingdom of Bahrain</t>
        </is>
      </c>
      <c r="F22" s="9" t="inlineStr">
        <is>
          <t>UN member state</t>
        </is>
      </c>
      <c r="G22" s="8" t="inlineStr">
        <is>
          <t>BHR</t>
        </is>
      </c>
      <c r="H22" s="8" t="n">
        <v>48</v>
      </c>
      <c r="I22" s="8" t="inlineStr">
        <is>
          <t>ISO 3166-2:BH</t>
        </is>
      </c>
      <c r="J22" s="8" t="inlineStr">
        <is>
          <t>.bh</t>
        </is>
      </c>
    </row>
    <row r="23">
      <c r="C23" s="8" t="inlineStr">
        <is>
          <t>BD</t>
        </is>
      </c>
      <c r="D23" s="10" t="inlineStr">
        <is>
          <t>Bangladesh</t>
        </is>
      </c>
      <c r="E23" s="8" t="inlineStr">
        <is>
          <t>The People's Republic of Bangladesh</t>
        </is>
      </c>
      <c r="F23" s="9" t="inlineStr">
        <is>
          <t>UN member state</t>
        </is>
      </c>
      <c r="G23" s="8" t="inlineStr">
        <is>
          <t>BGD</t>
        </is>
      </c>
      <c r="H23" s="8" t="n">
        <v>50</v>
      </c>
      <c r="I23" s="8" t="inlineStr">
        <is>
          <t>ISO 3166-2:BD</t>
        </is>
      </c>
      <c r="J23" s="8" t="inlineStr">
        <is>
          <t>.bd</t>
        </is>
      </c>
    </row>
    <row r="24">
      <c r="C24" s="8" t="inlineStr">
        <is>
          <t>BB</t>
        </is>
      </c>
      <c r="D24" s="10" t="inlineStr">
        <is>
          <t>Barbados</t>
        </is>
      </c>
      <c r="E24" s="8" t="inlineStr">
        <is>
          <t>Barbados</t>
        </is>
      </c>
      <c r="F24" s="9" t="inlineStr">
        <is>
          <t>UN member state</t>
        </is>
      </c>
      <c r="G24" s="8" t="inlineStr">
        <is>
          <t>BRB</t>
        </is>
      </c>
      <c r="H24" s="8" t="n">
        <v>52</v>
      </c>
      <c r="I24" s="8" t="inlineStr">
        <is>
          <t>ISO 3166-2:BB</t>
        </is>
      </c>
      <c r="J24" s="8" t="inlineStr">
        <is>
          <t>.bb</t>
        </is>
      </c>
    </row>
    <row r="25">
      <c r="C25" s="8" t="inlineStr">
        <is>
          <t>BY</t>
        </is>
      </c>
      <c r="D25" s="10" t="inlineStr">
        <is>
          <t>Belarus</t>
        </is>
      </c>
      <c r="E25" s="8" t="inlineStr">
        <is>
          <t>The Republic of Belarus</t>
        </is>
      </c>
      <c r="F25" s="9" t="inlineStr">
        <is>
          <t>UN member state</t>
        </is>
      </c>
      <c r="G25" s="8" t="inlineStr">
        <is>
          <t>BLR</t>
        </is>
      </c>
      <c r="H25" s="8" t="n">
        <v>112</v>
      </c>
      <c r="I25" s="8" t="inlineStr">
        <is>
          <t>ISO 3166-2:BY</t>
        </is>
      </c>
      <c r="J25" s="8" t="inlineStr">
        <is>
          <t>.by</t>
        </is>
      </c>
    </row>
    <row r="26">
      <c r="C26" s="8" t="inlineStr">
        <is>
          <t>BE</t>
        </is>
      </c>
      <c r="D26" s="10" t="inlineStr">
        <is>
          <t>Belgium</t>
        </is>
      </c>
      <c r="E26" s="8" t="inlineStr">
        <is>
          <t>The Kingdom of Belgium</t>
        </is>
      </c>
      <c r="F26" s="9" t="inlineStr">
        <is>
          <t>UN member state</t>
        </is>
      </c>
      <c r="G26" s="8" t="inlineStr">
        <is>
          <t>BEL</t>
        </is>
      </c>
      <c r="H26" s="8" t="n">
        <v>56</v>
      </c>
      <c r="I26" s="8" t="inlineStr">
        <is>
          <t>ISO 3166-2:BE</t>
        </is>
      </c>
      <c r="J26" s="8" t="inlineStr">
        <is>
          <t>.be</t>
        </is>
      </c>
    </row>
    <row r="27">
      <c r="C27" s="8" t="inlineStr">
        <is>
          <t>BZ</t>
        </is>
      </c>
      <c r="D27" s="10" t="inlineStr">
        <is>
          <t>Belize</t>
        </is>
      </c>
      <c r="E27" s="8" t="inlineStr">
        <is>
          <t>Belize</t>
        </is>
      </c>
      <c r="F27" s="9" t="inlineStr">
        <is>
          <t>UN member state</t>
        </is>
      </c>
      <c r="G27" s="8" t="inlineStr">
        <is>
          <t>BLZ</t>
        </is>
      </c>
      <c r="H27" s="8" t="n">
        <v>84</v>
      </c>
      <c r="I27" s="8" t="inlineStr">
        <is>
          <t>ISO 3166-2:BZ</t>
        </is>
      </c>
      <c r="J27" s="8" t="inlineStr">
        <is>
          <t>.bz</t>
        </is>
      </c>
    </row>
    <row r="28">
      <c r="C28" s="8" t="inlineStr">
        <is>
          <t>BJ</t>
        </is>
      </c>
      <c r="D28" s="10" t="inlineStr">
        <is>
          <t>Benin</t>
        </is>
      </c>
      <c r="E28" s="8" t="inlineStr">
        <is>
          <t>The Republic of Benin</t>
        </is>
      </c>
      <c r="F28" s="9" t="inlineStr">
        <is>
          <t>UN member state</t>
        </is>
      </c>
      <c r="G28" s="8" t="inlineStr">
        <is>
          <t>BEN</t>
        </is>
      </c>
      <c r="H28" s="8" t="n">
        <v>204</v>
      </c>
      <c r="I28" s="8" t="inlineStr">
        <is>
          <t>ISO 3166-2:BJ</t>
        </is>
      </c>
      <c r="J28" s="8" t="inlineStr">
        <is>
          <t>.bj</t>
        </is>
      </c>
    </row>
    <row r="29">
      <c r="C29" s="8" t="inlineStr">
        <is>
          <t>BM</t>
        </is>
      </c>
      <c r="D29" s="10" t="inlineStr">
        <is>
          <t>Bermuda</t>
        </is>
      </c>
      <c r="E29" s="8" t="inlineStr">
        <is>
          <t>Bermuda</t>
        </is>
      </c>
      <c r="F29" s="8" t="inlineStr">
        <is>
          <t>United Kingdom</t>
        </is>
      </c>
      <c r="G29" s="8" t="inlineStr">
        <is>
          <t>BMU</t>
        </is>
      </c>
      <c r="H29" s="8" t="n">
        <v>60</v>
      </c>
      <c r="I29" s="8" t="inlineStr">
        <is>
          <t>ISO 3166-2:BM</t>
        </is>
      </c>
      <c r="J29" s="8" t="inlineStr">
        <is>
          <t>.bm</t>
        </is>
      </c>
    </row>
    <row r="30">
      <c r="C30" s="8" t="inlineStr">
        <is>
          <t>BT</t>
        </is>
      </c>
      <c r="D30" s="10" t="inlineStr">
        <is>
          <t>Bhutan</t>
        </is>
      </c>
      <c r="E30" s="8" t="inlineStr">
        <is>
          <t>The Kingdom of Bhutan</t>
        </is>
      </c>
      <c r="F30" s="9" t="inlineStr">
        <is>
          <t>UN member state</t>
        </is>
      </c>
      <c r="G30" s="8" t="inlineStr">
        <is>
          <t>BTN</t>
        </is>
      </c>
      <c r="H30" s="8" t="n">
        <v>64</v>
      </c>
      <c r="I30" s="8" t="inlineStr">
        <is>
          <t>ISO 3166-2:BT</t>
        </is>
      </c>
      <c r="J30" s="8" t="inlineStr">
        <is>
          <t>.bt</t>
        </is>
      </c>
    </row>
    <row r="31" ht="25.5" customHeight="1">
      <c r="C31" s="8" t="inlineStr">
        <is>
          <t>BO</t>
        </is>
      </c>
      <c r="D31" s="10" t="inlineStr">
        <is>
          <t>Bolivia</t>
        </is>
      </c>
      <c r="E31" s="8" t="inlineStr">
        <is>
          <t>The Plurinational State of Bolivia</t>
        </is>
      </c>
      <c r="F31" s="9" t="inlineStr">
        <is>
          <t>UN member state</t>
        </is>
      </c>
      <c r="G31" s="8" t="inlineStr">
        <is>
          <t>BOL</t>
        </is>
      </c>
      <c r="H31" s="8" t="n">
        <v>68</v>
      </c>
      <c r="I31" s="8" t="inlineStr">
        <is>
          <t>ISO 3166-2:BO</t>
        </is>
      </c>
      <c r="J31" s="8" t="inlineStr">
        <is>
          <t>.bo</t>
        </is>
      </c>
    </row>
    <row r="32" ht="12.75" customHeight="1">
      <c r="C32" s="8" t="inlineStr">
        <is>
          <t>BQ</t>
        </is>
      </c>
      <c r="D32" s="10" t="inlineStr">
        <is>
          <t>Bonaire</t>
        </is>
      </c>
      <c r="E32" s="8" t="inlineStr">
        <is>
          <t>Bonaire, Sint Eustatius and Saba</t>
        </is>
      </c>
      <c r="F32" s="8" t="inlineStr">
        <is>
          <t>Netherlands</t>
        </is>
      </c>
      <c r="G32" s="8" t="inlineStr">
        <is>
          <t>BES</t>
        </is>
      </c>
      <c r="H32" s="8" t="n">
        <v>535</v>
      </c>
      <c r="I32" s="8" t="inlineStr">
        <is>
          <t>ISO 3166-2:BQ</t>
        </is>
      </c>
      <c r="J32" s="8" t="inlineStr">
        <is>
          <t>.bq .nl [c]</t>
        </is>
      </c>
    </row>
    <row r="33">
      <c r="D33" s="10" t="inlineStr">
        <is>
          <t>Sint Eustatius</t>
        </is>
      </c>
    </row>
    <row r="34">
      <c r="D34" s="10" t="inlineStr">
        <is>
          <t>Saba</t>
        </is>
      </c>
    </row>
    <row r="35" ht="25.5" customHeight="1">
      <c r="C35" s="8" t="inlineStr">
        <is>
          <t>BA</t>
        </is>
      </c>
      <c r="D35" s="10" t="inlineStr">
        <is>
          <t>Bosnia and Herzegovina</t>
        </is>
      </c>
      <c r="E35" s="8" t="inlineStr">
        <is>
          <t>Bosnia and Herzegovina</t>
        </is>
      </c>
      <c r="F35" s="9" t="inlineStr">
        <is>
          <t>UN member state</t>
        </is>
      </c>
      <c r="G35" s="8" t="inlineStr">
        <is>
          <t>BIH</t>
        </is>
      </c>
      <c r="H35" s="8" t="n">
        <v>70</v>
      </c>
      <c r="I35" s="8" t="inlineStr">
        <is>
          <t>ISO 3166-2:BA</t>
        </is>
      </c>
      <c r="J35" s="8" t="inlineStr">
        <is>
          <t>.ba</t>
        </is>
      </c>
    </row>
    <row r="36">
      <c r="C36" s="8" t="inlineStr">
        <is>
          <t>BW</t>
        </is>
      </c>
      <c r="D36" s="10" t="inlineStr">
        <is>
          <t>Botswana</t>
        </is>
      </c>
      <c r="E36" s="8" t="inlineStr">
        <is>
          <t>The Republic of Botswana</t>
        </is>
      </c>
      <c r="F36" s="9" t="inlineStr">
        <is>
          <t>UN member state</t>
        </is>
      </c>
      <c r="G36" s="8" t="inlineStr">
        <is>
          <t>BWA</t>
        </is>
      </c>
      <c r="H36" s="8" t="n">
        <v>72</v>
      </c>
      <c r="I36" s="8" t="inlineStr">
        <is>
          <t>ISO 3166-2:BW</t>
        </is>
      </c>
      <c r="J36" s="8" t="inlineStr">
        <is>
          <t>.bw</t>
        </is>
      </c>
    </row>
    <row r="37">
      <c r="C37" s="8" t="inlineStr">
        <is>
          <t>BV</t>
        </is>
      </c>
      <c r="D37" s="10" t="inlineStr">
        <is>
          <t>Bouvet Island</t>
        </is>
      </c>
      <c r="E37" s="8" t="inlineStr">
        <is>
          <t>Bouvet Island</t>
        </is>
      </c>
      <c r="F37" s="8" t="inlineStr">
        <is>
          <t>Norway</t>
        </is>
      </c>
      <c r="G37" s="8" t="inlineStr">
        <is>
          <t>BVT</t>
        </is>
      </c>
      <c r="H37" s="8" t="n">
        <v>74</v>
      </c>
      <c r="I37" s="8" t="inlineStr">
        <is>
          <t>ISO 3166-2:BV</t>
        </is>
      </c>
      <c r="J37" s="8" t="inlineStr">
        <is>
          <t>[d]</t>
        </is>
      </c>
    </row>
    <row r="38">
      <c r="C38" s="8" t="inlineStr">
        <is>
          <t>BR</t>
        </is>
      </c>
      <c r="D38" s="10" t="inlineStr">
        <is>
          <t>Brazil</t>
        </is>
      </c>
      <c r="E38" s="8" t="inlineStr">
        <is>
          <t>The Federative Republic of Brazil</t>
        </is>
      </c>
      <c r="F38" s="9" t="inlineStr">
        <is>
          <t>UN member state</t>
        </is>
      </c>
      <c r="G38" s="8" t="inlineStr">
        <is>
          <t>BRA</t>
        </is>
      </c>
      <c r="H38" s="8" t="n">
        <v>76</v>
      </c>
      <c r="I38" s="8" t="inlineStr">
        <is>
          <t>ISO 3166-2:BR</t>
        </is>
      </c>
      <c r="J38" s="8" t="inlineStr">
        <is>
          <t>.br</t>
        </is>
      </c>
    </row>
    <row r="39" ht="25.5" customHeight="1">
      <c r="C39" s="8" t="inlineStr">
        <is>
          <t>IO</t>
        </is>
      </c>
      <c r="D39" s="10" t="inlineStr">
        <is>
          <t>British Indian Ocean Territory</t>
        </is>
      </c>
      <c r="E39" s="8" t="inlineStr">
        <is>
          <t>The British Indian Ocean Territory</t>
        </is>
      </c>
      <c r="F39" s="8" t="inlineStr">
        <is>
          <t>United Kingdom</t>
        </is>
      </c>
      <c r="G39" s="8" t="inlineStr">
        <is>
          <t>IOT</t>
        </is>
      </c>
      <c r="H39" s="8" t="n">
        <v>86</v>
      </c>
      <c r="I39" s="8" t="inlineStr">
        <is>
          <t>ISO 3166-2:IO</t>
        </is>
      </c>
      <c r="J39" s="8" t="inlineStr">
        <is>
          <t>.io</t>
        </is>
      </c>
    </row>
    <row r="40" ht="12.75" customHeight="1">
      <c r="D40" s="10" t="inlineStr">
        <is>
          <t>British Virgin Islands</t>
        </is>
      </c>
    </row>
    <row r="41" ht="14.25" customHeight="1">
      <c r="C41" s="8" t="inlineStr">
        <is>
          <t>BN</t>
        </is>
      </c>
      <c r="D41" s="10" t="inlineStr">
        <is>
          <t xml:space="preserve">Brunei Darussalam </t>
        </is>
      </c>
      <c r="E41" s="8" t="inlineStr">
        <is>
          <t>The Nation of Brunei, the Abode of Peace</t>
        </is>
      </c>
      <c r="F41" s="9" t="inlineStr">
        <is>
          <t>UN member state</t>
        </is>
      </c>
      <c r="G41" s="8" t="inlineStr">
        <is>
          <t>BRN</t>
        </is>
      </c>
      <c r="H41" s="8" t="n">
        <v>96</v>
      </c>
      <c r="I41" s="8" t="inlineStr">
        <is>
          <t>ISO 3166-2:BN</t>
        </is>
      </c>
      <c r="J41" s="8" t="inlineStr">
        <is>
          <t>.bn</t>
        </is>
      </c>
    </row>
    <row r="42">
      <c r="C42" s="8" t="inlineStr">
        <is>
          <t>BG</t>
        </is>
      </c>
      <c r="D42" s="10" t="inlineStr">
        <is>
          <t>Bulgaria</t>
        </is>
      </c>
      <c r="E42" s="8" t="inlineStr">
        <is>
          <t>The Republic of Bulgaria</t>
        </is>
      </c>
      <c r="F42" s="9" t="inlineStr">
        <is>
          <t>UN member state</t>
        </is>
      </c>
      <c r="G42" s="8" t="inlineStr">
        <is>
          <t>BGR</t>
        </is>
      </c>
      <c r="H42" s="8" t="n">
        <v>100</v>
      </c>
      <c r="I42" s="8" t="inlineStr">
        <is>
          <t>ISO 3166-2:BG</t>
        </is>
      </c>
      <c r="J42" s="8" t="inlineStr">
        <is>
          <t>.bg</t>
        </is>
      </c>
    </row>
    <row r="43">
      <c r="C43" s="8" t="inlineStr">
        <is>
          <t>BF</t>
        </is>
      </c>
      <c r="D43" s="10" t="inlineStr">
        <is>
          <t>Burkina Faso</t>
        </is>
      </c>
      <c r="E43" s="8" t="inlineStr">
        <is>
          <t>Burkina Faso</t>
        </is>
      </c>
      <c r="F43" s="9" t="inlineStr">
        <is>
          <t>UN member state</t>
        </is>
      </c>
      <c r="G43" s="8" t="inlineStr">
        <is>
          <t>BFA</t>
        </is>
      </c>
      <c r="H43" s="8" t="n">
        <v>854</v>
      </c>
      <c r="I43" s="8" t="inlineStr">
        <is>
          <t>ISO 3166-2:BF</t>
        </is>
      </c>
      <c r="J43" s="8" t="inlineStr">
        <is>
          <t>.bf</t>
        </is>
      </c>
    </row>
    <row r="44" ht="12.75" customHeight="1">
      <c r="D44" s="10" t="inlineStr">
        <is>
          <t>Burma – See Myanmar.</t>
        </is>
      </c>
    </row>
    <row r="45">
      <c r="C45" s="8" t="inlineStr">
        <is>
          <t>BI</t>
        </is>
      </c>
      <c r="D45" s="10" t="inlineStr">
        <is>
          <t>Burundi</t>
        </is>
      </c>
      <c r="E45" s="8" t="inlineStr">
        <is>
          <t>The Republic of Burundi</t>
        </is>
      </c>
      <c r="F45" s="9" t="inlineStr">
        <is>
          <t>UN member state</t>
        </is>
      </c>
      <c r="G45" s="8" t="inlineStr">
        <is>
          <t>BDI</t>
        </is>
      </c>
      <c r="H45" s="8" t="n">
        <v>108</v>
      </c>
      <c r="I45" s="8" t="inlineStr">
        <is>
          <t>ISO 3166-2:BI</t>
        </is>
      </c>
      <c r="J45" s="8" t="inlineStr">
        <is>
          <t>.bi</t>
        </is>
      </c>
    </row>
    <row r="46" ht="14.25" customHeight="1">
      <c r="C46" s="8" t="inlineStr">
        <is>
          <t>CV</t>
        </is>
      </c>
      <c r="D46" s="10" t="inlineStr">
        <is>
          <t>Cabo Verde [f]</t>
        </is>
      </c>
      <c r="E46" s="8" t="inlineStr">
        <is>
          <t>The Republic of Cabo Verde</t>
        </is>
      </c>
      <c r="F46" s="9" t="inlineStr">
        <is>
          <t>UN member state</t>
        </is>
      </c>
      <c r="G46" s="8" t="inlineStr">
        <is>
          <t>CPV</t>
        </is>
      </c>
      <c r="H46" s="8" t="n">
        <v>132</v>
      </c>
      <c r="I46" s="8" t="inlineStr">
        <is>
          <t>ISO 3166-2:CV</t>
        </is>
      </c>
      <c r="J46" s="8" t="inlineStr">
        <is>
          <t>.cv</t>
        </is>
      </c>
    </row>
    <row r="47">
      <c r="C47" s="8" t="inlineStr">
        <is>
          <t>KH</t>
        </is>
      </c>
      <c r="D47" s="10" t="inlineStr">
        <is>
          <t>Cambodia</t>
        </is>
      </c>
      <c r="E47" s="8" t="inlineStr">
        <is>
          <t>The Kingdom of Cambodia</t>
        </is>
      </c>
      <c r="F47" s="9" t="inlineStr">
        <is>
          <t>UN member state</t>
        </is>
      </c>
      <c r="G47" s="8" t="inlineStr">
        <is>
          <t>KHM</t>
        </is>
      </c>
      <c r="H47" s="8" t="n">
        <v>116</v>
      </c>
      <c r="I47" s="8" t="inlineStr">
        <is>
          <t>ISO 3166-2:KH</t>
        </is>
      </c>
      <c r="J47" s="8" t="inlineStr">
        <is>
          <t>.kh</t>
        </is>
      </c>
    </row>
    <row r="48">
      <c r="C48" s="8" t="inlineStr">
        <is>
          <t>CM</t>
        </is>
      </c>
      <c r="D48" s="10" t="inlineStr">
        <is>
          <t>Cameroon</t>
        </is>
      </c>
      <c r="E48" s="8" t="inlineStr">
        <is>
          <t>The Republic of Cameroon</t>
        </is>
      </c>
      <c r="F48" s="9" t="inlineStr">
        <is>
          <t>UN member state</t>
        </is>
      </c>
      <c r="G48" s="8" t="inlineStr">
        <is>
          <t>CMR</t>
        </is>
      </c>
      <c r="H48" s="8" t="n">
        <v>120</v>
      </c>
      <c r="I48" s="8" t="inlineStr">
        <is>
          <t>ISO 3166-2:CM</t>
        </is>
      </c>
      <c r="J48" s="8" t="inlineStr">
        <is>
          <t>.cm</t>
        </is>
      </c>
    </row>
    <row r="49">
      <c r="C49" s="8" t="inlineStr">
        <is>
          <t>CA</t>
        </is>
      </c>
      <c r="D49" s="10" t="inlineStr">
        <is>
          <t>Canada</t>
        </is>
      </c>
      <c r="E49" s="8" t="inlineStr">
        <is>
          <t>Canada</t>
        </is>
      </c>
      <c r="F49" s="9" t="inlineStr">
        <is>
          <t>UN member state</t>
        </is>
      </c>
      <c r="G49" s="8" t="inlineStr">
        <is>
          <t>CAN</t>
        </is>
      </c>
      <c r="H49" s="8" t="n">
        <v>124</v>
      </c>
      <c r="I49" s="8" t="inlineStr">
        <is>
          <t>ISO 3166-2:CA</t>
        </is>
      </c>
      <c r="J49" s="8" t="inlineStr">
        <is>
          <t>.ca</t>
        </is>
      </c>
    </row>
    <row r="50" ht="12.75" customHeight="1">
      <c r="D50" s="10" t="inlineStr">
        <is>
          <t>Cape Verde – See Cabo Verde.</t>
        </is>
      </c>
    </row>
    <row r="51" ht="12.75" customHeight="1">
      <c r="D51" s="10" t="inlineStr">
        <is>
          <t>Caribbean Netherlands – See Bonaire, Sint Eustatius and Saba.</t>
        </is>
      </c>
    </row>
    <row r="52" ht="25.5" customHeight="1">
      <c r="C52" s="8" t="inlineStr">
        <is>
          <t>KY</t>
        </is>
      </c>
      <c r="D52" s="10" t="inlineStr">
        <is>
          <t>Cayman Islands</t>
        </is>
      </c>
      <c r="E52" s="8" t="inlineStr">
        <is>
          <t>The Cayman Islands</t>
        </is>
      </c>
      <c r="F52" s="8" t="inlineStr">
        <is>
          <t>United Kingdom</t>
        </is>
      </c>
      <c r="G52" s="8" t="inlineStr">
        <is>
          <t>CYM</t>
        </is>
      </c>
      <c r="H52" s="8" t="n">
        <v>136</v>
      </c>
      <c r="I52" s="8" t="inlineStr">
        <is>
          <t>ISO 3166-2:KY</t>
        </is>
      </c>
      <c r="J52" s="8" t="inlineStr">
        <is>
          <t>.ky</t>
        </is>
      </c>
    </row>
    <row r="53" ht="25.5" customHeight="1">
      <c r="C53" s="8" t="inlineStr">
        <is>
          <t>CF</t>
        </is>
      </c>
      <c r="D53" s="10" t="inlineStr">
        <is>
          <t>Central African Republic (the)</t>
        </is>
      </c>
      <c r="E53" s="8" t="inlineStr">
        <is>
          <t>The Central African Republic</t>
        </is>
      </c>
      <c r="F53" s="9" t="inlineStr">
        <is>
          <t>UN member state</t>
        </is>
      </c>
      <c r="G53" s="8" t="inlineStr">
        <is>
          <t>CAF</t>
        </is>
      </c>
      <c r="H53" s="8" t="n">
        <v>140</v>
      </c>
      <c r="I53" s="8" t="inlineStr">
        <is>
          <t>ISO 3166-2:CF</t>
        </is>
      </c>
      <c r="J53" s="8" t="inlineStr">
        <is>
          <t>.cf</t>
        </is>
      </c>
    </row>
    <row r="54">
      <c r="C54" s="8" t="inlineStr">
        <is>
          <t>TD</t>
        </is>
      </c>
      <c r="D54" s="10" t="inlineStr">
        <is>
          <t>Chad</t>
        </is>
      </c>
      <c r="E54" s="8" t="inlineStr">
        <is>
          <t>The Republic of Chad</t>
        </is>
      </c>
      <c r="F54" s="9" t="inlineStr">
        <is>
          <t>UN member state</t>
        </is>
      </c>
      <c r="G54" s="8" t="inlineStr">
        <is>
          <t>TCD</t>
        </is>
      </c>
      <c r="H54" s="8" t="n">
        <v>148</v>
      </c>
      <c r="I54" s="8" t="inlineStr">
        <is>
          <t>ISO 3166-2:TD</t>
        </is>
      </c>
      <c r="J54" s="8" t="inlineStr">
        <is>
          <t>.td</t>
        </is>
      </c>
    </row>
    <row r="55">
      <c r="C55" s="8" t="inlineStr">
        <is>
          <t>CL</t>
        </is>
      </c>
      <c r="D55" s="10" t="inlineStr">
        <is>
          <t>Chile</t>
        </is>
      </c>
      <c r="E55" s="8" t="inlineStr">
        <is>
          <t>The Republic of Chile</t>
        </is>
      </c>
      <c r="F55" s="9" t="inlineStr">
        <is>
          <t>UN member state</t>
        </is>
      </c>
      <c r="G55" s="8" t="inlineStr">
        <is>
          <t>CHL</t>
        </is>
      </c>
      <c r="H55" s="8" t="n">
        <v>152</v>
      </c>
      <c r="I55" s="8" t="inlineStr">
        <is>
          <t>ISO 3166-2:CL</t>
        </is>
      </c>
      <c r="J55" s="8" t="inlineStr">
        <is>
          <t>.cl</t>
        </is>
      </c>
    </row>
    <row r="56">
      <c r="C56" s="8" t="inlineStr">
        <is>
          <t>CN</t>
        </is>
      </c>
      <c r="D56" s="10" t="inlineStr">
        <is>
          <t>China</t>
        </is>
      </c>
      <c r="E56" s="8" t="inlineStr">
        <is>
          <t>The People's Republic of China</t>
        </is>
      </c>
      <c r="F56" s="9" t="inlineStr">
        <is>
          <t>UN member state</t>
        </is>
      </c>
      <c r="G56" s="8" t="inlineStr">
        <is>
          <t>CHN</t>
        </is>
      </c>
      <c r="H56" s="8" t="n">
        <v>156</v>
      </c>
      <c r="I56" s="8" t="inlineStr">
        <is>
          <t>ISO 3166-2:CN</t>
        </is>
      </c>
      <c r="J56" s="8" t="inlineStr">
        <is>
          <t>.cn</t>
        </is>
      </c>
    </row>
    <row r="57" ht="12.75" customHeight="1">
      <c r="D57" s="10" t="inlineStr">
        <is>
          <t>China, The Republic of – See Taiwan (Province of China).</t>
        </is>
      </c>
    </row>
    <row r="58">
      <c r="C58" s="8" t="inlineStr">
        <is>
          <t>CX</t>
        </is>
      </c>
      <c r="D58" s="10" t="inlineStr">
        <is>
          <t>Christmas Island</t>
        </is>
      </c>
      <c r="E58" s="8" t="inlineStr">
        <is>
          <t>The Territory of Christmas Island</t>
        </is>
      </c>
      <c r="F58" s="8" t="inlineStr">
        <is>
          <t>Australia</t>
        </is>
      </c>
      <c r="G58" s="8" t="inlineStr">
        <is>
          <t>CXR</t>
        </is>
      </c>
      <c r="H58" s="8" t="n">
        <v>162</v>
      </c>
      <c r="I58" s="8" t="inlineStr">
        <is>
          <t>ISO 3166-2:CX</t>
        </is>
      </c>
      <c r="J58" s="8" t="inlineStr">
        <is>
          <t>.cx</t>
        </is>
      </c>
    </row>
    <row r="59" ht="12.75" customHeight="1">
      <c r="D59" s="10" t="inlineStr">
        <is>
          <t>Clipperton Island – See France.</t>
        </is>
      </c>
    </row>
    <row r="60" ht="25.5" customHeight="1">
      <c r="C60" s="8" t="inlineStr">
        <is>
          <t>CC</t>
        </is>
      </c>
      <c r="D60" s="10" t="inlineStr">
        <is>
          <t>Cocos (Keeling) Islands (the)</t>
        </is>
      </c>
      <c r="E60" s="8" t="inlineStr">
        <is>
          <t>The Territory of Cocos (Keeling) Islands</t>
        </is>
      </c>
      <c r="F60" s="8" t="inlineStr">
        <is>
          <t>Australia</t>
        </is>
      </c>
      <c r="G60" s="8" t="inlineStr">
        <is>
          <t>CCK</t>
        </is>
      </c>
      <c r="H60" s="8" t="n">
        <v>166</v>
      </c>
      <c r="I60" s="8" t="inlineStr">
        <is>
          <t>ISO 3166-2:CC</t>
        </is>
      </c>
      <c r="J60" s="8" t="inlineStr">
        <is>
          <t>.cc</t>
        </is>
      </c>
    </row>
    <row r="61">
      <c r="C61" s="8" t="inlineStr">
        <is>
          <t>CO</t>
        </is>
      </c>
      <c r="D61" s="10" t="inlineStr">
        <is>
          <t>Colombia</t>
        </is>
      </c>
      <c r="E61" s="8" t="inlineStr">
        <is>
          <t>The Republic of Colombia</t>
        </is>
      </c>
      <c r="F61" s="9" t="inlineStr">
        <is>
          <t>UN member state</t>
        </is>
      </c>
      <c r="G61" s="8" t="inlineStr">
        <is>
          <t>COL</t>
        </is>
      </c>
      <c r="H61" s="8" t="n">
        <v>170</v>
      </c>
      <c r="I61" s="8" t="inlineStr">
        <is>
          <t>ISO 3166-2:CO</t>
        </is>
      </c>
      <c r="J61" s="8" t="inlineStr">
        <is>
          <t>.co</t>
        </is>
      </c>
    </row>
    <row r="62">
      <c r="C62" s="8" t="inlineStr">
        <is>
          <t>KM</t>
        </is>
      </c>
      <c r="D62" s="10" t="inlineStr">
        <is>
          <t>Comoros</t>
        </is>
      </c>
      <c r="E62" s="8" t="inlineStr">
        <is>
          <t>The Union of the Comoros</t>
        </is>
      </c>
      <c r="F62" s="9" t="inlineStr">
        <is>
          <t>UN member state</t>
        </is>
      </c>
      <c r="G62" s="8" t="inlineStr">
        <is>
          <t>COM</t>
        </is>
      </c>
      <c r="H62" s="8" t="n">
        <v>174</v>
      </c>
      <c r="I62" s="8" t="inlineStr">
        <is>
          <t>ISO 3166-2:KM</t>
        </is>
      </c>
      <c r="J62" s="8" t="inlineStr">
        <is>
          <t>.km</t>
        </is>
      </c>
    </row>
    <row r="63" ht="38.25" customHeight="1">
      <c r="C63" s="8" t="inlineStr">
        <is>
          <t>CD</t>
        </is>
      </c>
      <c r="D63" s="10" t="inlineStr">
        <is>
          <t>Congo (the Democratic Republic of the)</t>
        </is>
      </c>
      <c r="E63" s="8" t="inlineStr">
        <is>
          <t>The Democratic Republic of the Congo</t>
        </is>
      </c>
      <c r="F63" s="9" t="inlineStr">
        <is>
          <t>UN member state</t>
        </is>
      </c>
      <c r="G63" s="8" t="inlineStr">
        <is>
          <t>COD</t>
        </is>
      </c>
      <c r="H63" s="8" t="n">
        <v>180</v>
      </c>
      <c r="I63" s="8" t="inlineStr">
        <is>
          <t>ISO 3166-2:CD</t>
        </is>
      </c>
      <c r="J63" s="8" t="inlineStr">
        <is>
          <t>.cd</t>
        </is>
      </c>
    </row>
    <row r="64" ht="14.25" customHeight="1">
      <c r="C64" s="8" t="inlineStr">
        <is>
          <t>CG</t>
        </is>
      </c>
      <c r="D64" s="10" t="inlineStr">
        <is>
          <t>Congo</t>
        </is>
      </c>
      <c r="E64" s="8" t="inlineStr">
        <is>
          <t>The Republic of the Congo</t>
        </is>
      </c>
      <c r="F64" s="9" t="inlineStr">
        <is>
          <t>UN member state</t>
        </is>
      </c>
      <c r="G64" s="8" t="inlineStr">
        <is>
          <t>COG</t>
        </is>
      </c>
      <c r="H64" s="8" t="n">
        <v>178</v>
      </c>
      <c r="I64" s="8" t="inlineStr">
        <is>
          <t>ISO 3166-2:CG</t>
        </is>
      </c>
      <c r="J64" s="8" t="inlineStr">
        <is>
          <t>.cg</t>
        </is>
      </c>
    </row>
    <row r="65">
      <c r="C65" s="8" t="inlineStr">
        <is>
          <t>CK</t>
        </is>
      </c>
      <c r="D65" s="10" t="inlineStr">
        <is>
          <t>Cook Islands</t>
        </is>
      </c>
      <c r="E65" s="8" t="inlineStr">
        <is>
          <t>The Cook Islands</t>
        </is>
      </c>
      <c r="F65" s="8" t="inlineStr">
        <is>
          <t>New Zealand</t>
        </is>
      </c>
      <c r="G65" s="8" t="inlineStr">
        <is>
          <t>COK</t>
        </is>
      </c>
      <c r="H65" s="8" t="n">
        <v>184</v>
      </c>
      <c r="I65" s="8" t="inlineStr">
        <is>
          <t>ISO 3166-2:CK</t>
        </is>
      </c>
      <c r="J65" s="8" t="inlineStr">
        <is>
          <t>.ck</t>
        </is>
      </c>
    </row>
    <row r="66" ht="12.75" customHeight="1">
      <c r="D66" s="10" t="inlineStr">
        <is>
          <t>Coral Sea Islands – See Australia.</t>
        </is>
      </c>
    </row>
    <row r="67">
      <c r="C67" s="8" t="inlineStr">
        <is>
          <t>CR</t>
        </is>
      </c>
      <c r="D67" s="10" t="inlineStr">
        <is>
          <t>Costa Rica</t>
        </is>
      </c>
      <c r="E67" s="8" t="inlineStr">
        <is>
          <t>The Republic of Costa Rica</t>
        </is>
      </c>
      <c r="F67" s="9" t="inlineStr">
        <is>
          <t>UN member state</t>
        </is>
      </c>
      <c r="G67" s="8" t="inlineStr">
        <is>
          <t>CRI</t>
        </is>
      </c>
      <c r="H67" s="8" t="n">
        <v>188</v>
      </c>
      <c r="I67" s="8" t="inlineStr">
        <is>
          <t>ISO 3166-2:CR</t>
        </is>
      </c>
      <c r="J67" s="8" t="inlineStr">
        <is>
          <t>.cr</t>
        </is>
      </c>
    </row>
    <row r="68" ht="14.25" customHeight="1">
      <c r="C68" s="8" t="inlineStr">
        <is>
          <t>CI</t>
        </is>
      </c>
      <c r="D68" s="10" t="inlineStr">
        <is>
          <t>Côte d'Ivoire [h]</t>
        </is>
      </c>
      <c r="E68" s="8" t="inlineStr">
        <is>
          <t>The Republic of Côte d'Ivoire</t>
        </is>
      </c>
      <c r="F68" s="9" t="inlineStr">
        <is>
          <t>UN member state</t>
        </is>
      </c>
      <c r="G68" s="8" t="inlineStr">
        <is>
          <t>CIV</t>
        </is>
      </c>
      <c r="H68" s="8" t="n">
        <v>384</v>
      </c>
      <c r="I68" s="8" t="inlineStr">
        <is>
          <t>ISO 3166-2:CI</t>
        </is>
      </c>
      <c r="J68" s="8" t="inlineStr">
        <is>
          <t>.ci</t>
        </is>
      </c>
    </row>
    <row r="69">
      <c r="C69" s="8" t="inlineStr">
        <is>
          <t>HR</t>
        </is>
      </c>
      <c r="D69" s="10" t="inlineStr">
        <is>
          <t>Croatia</t>
        </is>
      </c>
      <c r="E69" s="8" t="inlineStr">
        <is>
          <t>The Republic of Croatia</t>
        </is>
      </c>
      <c r="F69" s="9" t="inlineStr">
        <is>
          <t>UN member state</t>
        </is>
      </c>
      <c r="G69" s="8" t="inlineStr">
        <is>
          <t>HRV</t>
        </is>
      </c>
      <c r="H69" s="8" t="n">
        <v>191</v>
      </c>
      <c r="I69" s="8" t="inlineStr">
        <is>
          <t>ISO 3166-2:HR</t>
        </is>
      </c>
      <c r="J69" s="8" t="inlineStr">
        <is>
          <t>.hr</t>
        </is>
      </c>
    </row>
    <row r="70">
      <c r="C70" s="8" t="inlineStr">
        <is>
          <t>CU</t>
        </is>
      </c>
      <c r="D70" s="10" t="inlineStr">
        <is>
          <t>Cuba</t>
        </is>
      </c>
      <c r="E70" s="8" t="inlineStr">
        <is>
          <t>The Republic of Cuba</t>
        </is>
      </c>
      <c r="F70" s="9" t="inlineStr">
        <is>
          <t>UN member state</t>
        </is>
      </c>
      <c r="G70" s="8" t="inlineStr">
        <is>
          <t>CUB</t>
        </is>
      </c>
      <c r="H70" s="8" t="n">
        <v>192</v>
      </c>
      <c r="I70" s="8" t="inlineStr">
        <is>
          <t>ISO 3166-2:CU</t>
        </is>
      </c>
      <c r="J70" s="8" t="inlineStr">
        <is>
          <t>.cu</t>
        </is>
      </c>
    </row>
    <row r="71">
      <c r="C71" s="8" t="inlineStr">
        <is>
          <t>CW</t>
        </is>
      </c>
      <c r="D71" s="10" t="inlineStr">
        <is>
          <t>Curaçao</t>
        </is>
      </c>
      <c r="E71" s="8" t="inlineStr">
        <is>
          <t>The Country of Curaçao</t>
        </is>
      </c>
      <c r="F71" s="8" t="inlineStr">
        <is>
          <t>Netherlands</t>
        </is>
      </c>
      <c r="G71" s="8" t="inlineStr">
        <is>
          <t>CUW</t>
        </is>
      </c>
      <c r="H71" s="8" t="n">
        <v>531</v>
      </c>
      <c r="I71" s="8" t="inlineStr">
        <is>
          <t>ISO 3166-2:CW</t>
        </is>
      </c>
      <c r="J71" s="8" t="inlineStr">
        <is>
          <t>.cw</t>
        </is>
      </c>
    </row>
    <row r="72">
      <c r="C72" s="8" t="inlineStr">
        <is>
          <t>CY</t>
        </is>
      </c>
      <c r="D72" s="10" t="inlineStr">
        <is>
          <t>Cyprus</t>
        </is>
      </c>
      <c r="E72" s="8" t="inlineStr">
        <is>
          <t>The Republic of Cyprus</t>
        </is>
      </c>
      <c r="F72" s="9" t="inlineStr">
        <is>
          <t>UN member state</t>
        </is>
      </c>
      <c r="G72" s="8" t="inlineStr">
        <is>
          <t>CYP</t>
        </is>
      </c>
      <c r="H72" s="8" t="n">
        <v>196</v>
      </c>
      <c r="I72" s="8" t="inlineStr">
        <is>
          <t>ISO 3166-2:CY</t>
        </is>
      </c>
      <c r="J72" s="8" t="inlineStr">
        <is>
          <t>.cy</t>
        </is>
      </c>
    </row>
    <row r="73" ht="14.25" customHeight="1">
      <c r="C73" s="8" t="inlineStr">
        <is>
          <t>CZ</t>
        </is>
      </c>
      <c r="D73" s="10" t="inlineStr">
        <is>
          <t>Czechia [i]</t>
        </is>
      </c>
      <c r="E73" s="8" t="inlineStr">
        <is>
          <t>The Czech Republic</t>
        </is>
      </c>
      <c r="F73" s="9" t="inlineStr">
        <is>
          <t>UN member state</t>
        </is>
      </c>
      <c r="G73" s="8" t="inlineStr">
        <is>
          <t>CZE</t>
        </is>
      </c>
      <c r="H73" s="8" t="n">
        <v>203</v>
      </c>
      <c r="I73" s="8" t="inlineStr">
        <is>
          <t>ISO 3166-2:CZ</t>
        </is>
      </c>
      <c r="J73" s="8" t="inlineStr">
        <is>
          <t>.cz</t>
        </is>
      </c>
    </row>
    <row r="74" ht="25.5" customHeight="1">
      <c r="D74" s="10" t="inlineStr">
        <is>
          <t>Democratic People's Republic of Korea – See Korea, The Democratic People's Republic of.</t>
        </is>
      </c>
    </row>
    <row r="75" ht="12.75" customHeight="1">
      <c r="D75" s="10" t="inlineStr">
        <is>
          <t>Democratic Republic of the Congo – See Congo, The Democratic Republic of the.</t>
        </is>
      </c>
    </row>
    <row r="76">
      <c r="C76" s="8" t="inlineStr">
        <is>
          <t>DK</t>
        </is>
      </c>
      <c r="D76" s="10" t="inlineStr">
        <is>
          <t>Denmark</t>
        </is>
      </c>
      <c r="E76" s="8" t="inlineStr">
        <is>
          <t>The Kingdom of Denmark</t>
        </is>
      </c>
      <c r="F76" s="9" t="inlineStr">
        <is>
          <t>UN member state</t>
        </is>
      </c>
      <c r="G76" s="8" t="inlineStr">
        <is>
          <t>DNK</t>
        </is>
      </c>
      <c r="H76" s="8" t="n">
        <v>208</v>
      </c>
      <c r="I76" s="8" t="inlineStr">
        <is>
          <t>ISO 3166-2:DK</t>
        </is>
      </c>
      <c r="J76" s="8" t="inlineStr">
        <is>
          <t>.dk</t>
        </is>
      </c>
    </row>
    <row r="77">
      <c r="C77" s="8" t="inlineStr">
        <is>
          <t>DJ</t>
        </is>
      </c>
      <c r="D77" s="10" t="inlineStr">
        <is>
          <t>Djibouti</t>
        </is>
      </c>
      <c r="E77" s="8" t="inlineStr">
        <is>
          <t>The Republic of Djibouti</t>
        </is>
      </c>
      <c r="F77" s="9" t="inlineStr">
        <is>
          <t>UN member state</t>
        </is>
      </c>
      <c r="G77" s="8" t="inlineStr">
        <is>
          <t>DJI</t>
        </is>
      </c>
      <c r="H77" s="8" t="n">
        <v>262</v>
      </c>
      <c r="I77" s="8" t="inlineStr">
        <is>
          <t>ISO 3166-2:DJ</t>
        </is>
      </c>
      <c r="J77" s="8" t="inlineStr">
        <is>
          <t>.dj</t>
        </is>
      </c>
    </row>
    <row r="78">
      <c r="C78" s="8" t="inlineStr">
        <is>
          <t>DM</t>
        </is>
      </c>
      <c r="D78" s="10" t="inlineStr">
        <is>
          <t>Dominica</t>
        </is>
      </c>
      <c r="E78" s="8" t="inlineStr">
        <is>
          <t>The Commonwealth of Dominica</t>
        </is>
      </c>
      <c r="F78" s="9" t="inlineStr">
        <is>
          <t>UN member state</t>
        </is>
      </c>
      <c r="G78" s="8" t="inlineStr">
        <is>
          <t>DMA</t>
        </is>
      </c>
      <c r="H78" s="8" t="n">
        <v>212</v>
      </c>
      <c r="I78" s="8" t="inlineStr">
        <is>
          <t>ISO 3166-2:DM</t>
        </is>
      </c>
      <c r="J78" s="8" t="inlineStr">
        <is>
          <t>.dm</t>
        </is>
      </c>
    </row>
    <row r="79" ht="25.5" customHeight="1">
      <c r="C79" s="8" t="inlineStr">
        <is>
          <t>DO</t>
        </is>
      </c>
      <c r="D79" s="10" t="inlineStr">
        <is>
          <t>Dominican Republic (the)</t>
        </is>
      </c>
      <c r="E79" s="8" t="inlineStr">
        <is>
          <t>The Dominican Republic</t>
        </is>
      </c>
      <c r="F79" s="9" t="inlineStr">
        <is>
          <t>UN member state</t>
        </is>
      </c>
      <c r="G79" s="8" t="inlineStr">
        <is>
          <t>DOM</t>
        </is>
      </c>
      <c r="H79" s="8" t="n">
        <v>214</v>
      </c>
      <c r="I79" s="8" t="inlineStr">
        <is>
          <t>ISO 3166-2:DO</t>
        </is>
      </c>
      <c r="J79" s="8" t="inlineStr">
        <is>
          <t>.do</t>
        </is>
      </c>
    </row>
    <row r="80" ht="12.75" customHeight="1">
      <c r="D80" s="10" t="inlineStr">
        <is>
          <t>East Timor – See Timor-Leste.</t>
        </is>
      </c>
    </row>
    <row r="81">
      <c r="C81" s="8" t="inlineStr">
        <is>
          <t>EC</t>
        </is>
      </c>
      <c r="D81" s="10" t="inlineStr">
        <is>
          <t>Ecuador</t>
        </is>
      </c>
      <c r="E81" s="8" t="inlineStr">
        <is>
          <t>The Republic of Ecuador</t>
        </is>
      </c>
      <c r="F81" s="9" t="inlineStr">
        <is>
          <t>UN member state</t>
        </is>
      </c>
      <c r="G81" s="8" t="inlineStr">
        <is>
          <t>ECU</t>
        </is>
      </c>
      <c r="H81" s="8" t="n">
        <v>218</v>
      </c>
      <c r="I81" s="8" t="inlineStr">
        <is>
          <t>ISO 3166-2:EC</t>
        </is>
      </c>
      <c r="J81" s="8" t="inlineStr">
        <is>
          <t>.ec</t>
        </is>
      </c>
    </row>
    <row r="82">
      <c r="C82" s="8" t="inlineStr">
        <is>
          <t>EG</t>
        </is>
      </c>
      <c r="D82" s="10" t="inlineStr">
        <is>
          <t>Egypt</t>
        </is>
      </c>
      <c r="E82" s="8" t="inlineStr">
        <is>
          <t>The Arab Republic of Egypt</t>
        </is>
      </c>
      <c r="F82" s="9" t="inlineStr">
        <is>
          <t>UN member state</t>
        </is>
      </c>
      <c r="G82" s="8" t="inlineStr">
        <is>
          <t>EGY</t>
        </is>
      </c>
      <c r="H82" s="8" t="n">
        <v>818</v>
      </c>
      <c r="I82" s="8" t="inlineStr">
        <is>
          <t>ISO 3166-2:EG</t>
        </is>
      </c>
      <c r="J82" s="8" t="inlineStr">
        <is>
          <t>.eg</t>
        </is>
      </c>
    </row>
    <row r="83">
      <c r="C83" s="8" t="inlineStr">
        <is>
          <t>SV</t>
        </is>
      </c>
      <c r="D83" s="10" t="inlineStr">
        <is>
          <t>El Salvador</t>
        </is>
      </c>
      <c r="E83" s="8" t="inlineStr">
        <is>
          <t>The Republic of El Salvador</t>
        </is>
      </c>
      <c r="F83" s="9" t="inlineStr">
        <is>
          <t>UN member state</t>
        </is>
      </c>
      <c r="G83" s="8" t="inlineStr">
        <is>
          <t>SLV</t>
        </is>
      </c>
      <c r="H83" s="8" t="n">
        <v>222</v>
      </c>
      <c r="I83" s="8" t="inlineStr">
        <is>
          <t>ISO 3166-2:SV</t>
        </is>
      </c>
      <c r="J83" s="8" t="inlineStr">
        <is>
          <t>.sv</t>
        </is>
      </c>
    </row>
    <row r="84" ht="12.75" customHeight="1">
      <c r="D84" s="10" t="inlineStr">
        <is>
          <t>England – See United Kingdom, The.</t>
        </is>
      </c>
    </row>
    <row r="85">
      <c r="C85" s="8" t="inlineStr">
        <is>
          <t>GQ</t>
        </is>
      </c>
      <c r="D85" s="10" t="inlineStr">
        <is>
          <t>Equatorial Guinea</t>
        </is>
      </c>
      <c r="E85" s="8" t="inlineStr">
        <is>
          <t>The Republic of Equatorial Guinea</t>
        </is>
      </c>
      <c r="F85" s="9" t="inlineStr">
        <is>
          <t>UN member state</t>
        </is>
      </c>
      <c r="G85" s="8" t="inlineStr">
        <is>
          <t>GNQ</t>
        </is>
      </c>
      <c r="H85" s="8" t="n">
        <v>226</v>
      </c>
      <c r="I85" s="8" t="inlineStr">
        <is>
          <t>ISO 3166-2:GQ</t>
        </is>
      </c>
      <c r="J85" s="8" t="inlineStr">
        <is>
          <t>.gq</t>
        </is>
      </c>
    </row>
    <row r="86">
      <c r="C86" s="8" t="inlineStr">
        <is>
          <t>ER</t>
        </is>
      </c>
      <c r="D86" s="10" t="inlineStr">
        <is>
          <t>Eritrea</t>
        </is>
      </c>
      <c r="E86" s="8" t="inlineStr">
        <is>
          <t>The State of Eritrea</t>
        </is>
      </c>
      <c r="F86" s="9" t="inlineStr">
        <is>
          <t>UN member state</t>
        </is>
      </c>
      <c r="G86" s="8" t="inlineStr">
        <is>
          <t>ERI</t>
        </is>
      </c>
      <c r="H86" s="8" t="n">
        <v>232</v>
      </c>
      <c r="I86" s="8" t="inlineStr">
        <is>
          <t>ISO 3166-2:ER</t>
        </is>
      </c>
      <c r="J86" s="8" t="inlineStr">
        <is>
          <t>.er</t>
        </is>
      </c>
    </row>
    <row r="87">
      <c r="C87" s="8" t="inlineStr">
        <is>
          <t>EE</t>
        </is>
      </c>
      <c r="D87" s="10" t="inlineStr">
        <is>
          <t>Estonia</t>
        </is>
      </c>
      <c r="E87" s="8" t="inlineStr">
        <is>
          <t>The Republic of Estonia</t>
        </is>
      </c>
      <c r="F87" s="9" t="inlineStr">
        <is>
          <t>UN member state</t>
        </is>
      </c>
      <c r="G87" s="8" t="inlineStr">
        <is>
          <t>EST</t>
        </is>
      </c>
      <c r="H87" s="8" t="n">
        <v>233</v>
      </c>
      <c r="I87" s="8" t="inlineStr">
        <is>
          <t>ISO 3166-2:EE</t>
        </is>
      </c>
      <c r="J87" s="8" t="inlineStr">
        <is>
          <t>.ee</t>
        </is>
      </c>
    </row>
    <row r="88" ht="14.25" customHeight="1">
      <c r="C88" s="8" t="inlineStr">
        <is>
          <t>SZ</t>
        </is>
      </c>
      <c r="D88" s="10" t="inlineStr">
        <is>
          <t>Eswatini [j]</t>
        </is>
      </c>
      <c r="E88" s="8" t="inlineStr">
        <is>
          <t>The Kingdom of Eswatini</t>
        </is>
      </c>
      <c r="F88" s="9" t="inlineStr">
        <is>
          <t>UN member state</t>
        </is>
      </c>
      <c r="G88" s="8" t="inlineStr">
        <is>
          <t>SWZ</t>
        </is>
      </c>
      <c r="H88" s="8" t="n">
        <v>748</v>
      </c>
      <c r="I88" s="8" t="inlineStr">
        <is>
          <t>ISO 3166-2:SZ</t>
        </is>
      </c>
      <c r="J88" s="8" t="inlineStr">
        <is>
          <t>.sz</t>
        </is>
      </c>
    </row>
    <row r="89">
      <c r="C89" s="8" t="inlineStr">
        <is>
          <t>ET</t>
        </is>
      </c>
      <c r="D89" s="10" t="inlineStr">
        <is>
          <t>Ethiopia</t>
        </is>
      </c>
      <c r="E89" s="8" t="inlineStr">
        <is>
          <t>The Federal Democratic Republic of Ethiopia</t>
        </is>
      </c>
      <c r="F89" s="9" t="inlineStr">
        <is>
          <t>UN member state</t>
        </is>
      </c>
      <c r="G89" s="8" t="inlineStr">
        <is>
          <t>ETH</t>
        </is>
      </c>
      <c r="H89" s="8" t="n">
        <v>231</v>
      </c>
      <c r="I89" s="8" t="inlineStr">
        <is>
          <t>ISO 3166-2:ET</t>
        </is>
      </c>
      <c r="J89" s="8" t="inlineStr">
        <is>
          <t>.et</t>
        </is>
      </c>
    </row>
    <row r="90" ht="27" customHeight="1">
      <c r="C90" s="8" t="inlineStr">
        <is>
          <t>FK</t>
        </is>
      </c>
      <c r="D90" s="10" t="inlineStr">
        <is>
          <t>Falkland Islands (the) [Malvinas] [k]</t>
        </is>
      </c>
      <c r="E90" s="8" t="inlineStr">
        <is>
          <t>The Falkland Islands</t>
        </is>
      </c>
      <c r="F90" s="8" t="inlineStr">
        <is>
          <t>United Kingdom</t>
        </is>
      </c>
      <c r="G90" s="8" t="inlineStr">
        <is>
          <t>FLK</t>
        </is>
      </c>
      <c r="H90" s="8" t="n">
        <v>238</v>
      </c>
      <c r="I90" s="8" t="inlineStr">
        <is>
          <t>ISO 3166-2:FK</t>
        </is>
      </c>
      <c r="J90" s="8" t="inlineStr">
        <is>
          <t>.fk</t>
        </is>
      </c>
    </row>
    <row r="91">
      <c r="C91" s="8" t="inlineStr">
        <is>
          <t>FO</t>
        </is>
      </c>
      <c r="D91" s="10" t="inlineStr">
        <is>
          <t>Faroe Islands (the)</t>
        </is>
      </c>
      <c r="E91" s="8" t="inlineStr">
        <is>
          <t>The Faroe Islands</t>
        </is>
      </c>
      <c r="F91" s="8" t="inlineStr">
        <is>
          <t>Denmark</t>
        </is>
      </c>
      <c r="G91" s="8" t="inlineStr">
        <is>
          <t>FRO</t>
        </is>
      </c>
      <c r="H91" s="8" t="n">
        <v>234</v>
      </c>
      <c r="I91" s="8" t="inlineStr">
        <is>
          <t>ISO 3166-2:FO</t>
        </is>
      </c>
      <c r="J91" s="8" t="inlineStr">
        <is>
          <t>.fo</t>
        </is>
      </c>
    </row>
    <row r="92">
      <c r="C92" s="8" t="inlineStr">
        <is>
          <t>FJ</t>
        </is>
      </c>
      <c r="D92" s="10" t="inlineStr">
        <is>
          <t>Fiji</t>
        </is>
      </c>
      <c r="E92" s="8" t="inlineStr">
        <is>
          <t>The Republic of Fiji</t>
        </is>
      </c>
      <c r="F92" s="9" t="inlineStr">
        <is>
          <t>UN member state</t>
        </is>
      </c>
      <c r="G92" s="8" t="inlineStr">
        <is>
          <t>FJI</t>
        </is>
      </c>
      <c r="H92" s="8" t="n">
        <v>242</v>
      </c>
      <c r="I92" s="8" t="inlineStr">
        <is>
          <t>ISO 3166-2:FJ</t>
        </is>
      </c>
      <c r="J92" s="8" t="inlineStr">
        <is>
          <t>.fj</t>
        </is>
      </c>
    </row>
    <row r="93">
      <c r="C93" s="8" t="inlineStr">
        <is>
          <t>FI</t>
        </is>
      </c>
      <c r="D93" s="10" t="inlineStr">
        <is>
          <t>Finland</t>
        </is>
      </c>
      <c r="E93" s="8" t="inlineStr">
        <is>
          <t>The Republic of Finland</t>
        </is>
      </c>
      <c r="F93" s="9" t="inlineStr">
        <is>
          <t>UN member state</t>
        </is>
      </c>
      <c r="G93" s="8" t="inlineStr">
        <is>
          <t>FIN</t>
        </is>
      </c>
      <c r="H93" s="8" t="n">
        <v>246</v>
      </c>
      <c r="I93" s="8" t="inlineStr">
        <is>
          <t>ISO 3166-2:FI</t>
        </is>
      </c>
      <c r="J93" s="8" t="inlineStr">
        <is>
          <t>.fi</t>
        </is>
      </c>
    </row>
    <row r="94" ht="14.25" customHeight="1">
      <c r="C94" s="8" t="inlineStr">
        <is>
          <t>FR</t>
        </is>
      </c>
      <c r="D94" s="10" t="inlineStr">
        <is>
          <t>France [l]</t>
        </is>
      </c>
      <c r="E94" s="8" t="inlineStr">
        <is>
          <t>The French Republic</t>
        </is>
      </c>
      <c r="F94" s="9" t="inlineStr">
        <is>
          <t>UN member state</t>
        </is>
      </c>
      <c r="G94" s="8" t="inlineStr">
        <is>
          <t>FRA</t>
        </is>
      </c>
      <c r="H94" s="8" t="n">
        <v>250</v>
      </c>
      <c r="I94" s="8" t="inlineStr">
        <is>
          <t>ISO 3166-2:FR</t>
        </is>
      </c>
      <c r="J94" s="8" t="inlineStr">
        <is>
          <t>.fr</t>
        </is>
      </c>
    </row>
    <row r="95">
      <c r="C95" s="8" t="inlineStr">
        <is>
          <t>GF</t>
        </is>
      </c>
      <c r="D95" s="10" t="inlineStr">
        <is>
          <t>French Guiana</t>
        </is>
      </c>
      <c r="E95" s="8" t="inlineStr">
        <is>
          <t>Guyane</t>
        </is>
      </c>
      <c r="F95" s="8" t="inlineStr">
        <is>
          <t>France</t>
        </is>
      </c>
      <c r="G95" s="8" t="inlineStr">
        <is>
          <t>GUF</t>
        </is>
      </c>
      <c r="H95" s="8" t="n">
        <v>254</v>
      </c>
      <c r="I95" s="8" t="inlineStr">
        <is>
          <t>ISO 3166-2:GF</t>
        </is>
      </c>
      <c r="J95" s="8" t="inlineStr">
        <is>
          <t>.gf</t>
        </is>
      </c>
    </row>
    <row r="96">
      <c r="C96" s="8" t="inlineStr">
        <is>
          <t>PF</t>
        </is>
      </c>
      <c r="D96" s="10" t="inlineStr">
        <is>
          <t>French Polynesia</t>
        </is>
      </c>
      <c r="E96" s="8" t="inlineStr">
        <is>
          <t>French Polynesia</t>
        </is>
      </c>
      <c r="F96" s="8" t="inlineStr">
        <is>
          <t>France</t>
        </is>
      </c>
      <c r="G96" s="8" t="inlineStr">
        <is>
          <t>PYF</t>
        </is>
      </c>
      <c r="H96" s="8" t="n">
        <v>258</v>
      </c>
      <c r="I96" s="8" t="inlineStr">
        <is>
          <t>ISO 3166-2:PF</t>
        </is>
      </c>
      <c r="J96" s="8" t="inlineStr">
        <is>
          <t>.pf</t>
        </is>
      </c>
    </row>
    <row r="97" ht="27" customHeight="1">
      <c r="C97" s="8" t="inlineStr">
        <is>
          <t>TF</t>
        </is>
      </c>
      <c r="D97" s="10" t="inlineStr">
        <is>
          <t>French Southern Territories (the) [m]</t>
        </is>
      </c>
      <c r="E97" s="8" t="inlineStr">
        <is>
          <t>The French Southern and Antarctic Lands</t>
        </is>
      </c>
      <c r="F97" s="8" t="inlineStr">
        <is>
          <t>France</t>
        </is>
      </c>
      <c r="G97" s="8" t="inlineStr">
        <is>
          <t>ATF</t>
        </is>
      </c>
      <c r="H97" s="8" t="n">
        <v>260</v>
      </c>
      <c r="I97" s="8" t="inlineStr">
        <is>
          <t>ISO 3166-2:TF</t>
        </is>
      </c>
      <c r="J97" s="8" t="inlineStr">
        <is>
          <t>.tf</t>
        </is>
      </c>
    </row>
    <row r="98">
      <c r="C98" s="8" t="inlineStr">
        <is>
          <t>GA</t>
        </is>
      </c>
      <c r="D98" s="10" t="inlineStr">
        <is>
          <t>Gabon</t>
        </is>
      </c>
      <c r="E98" s="8" t="inlineStr">
        <is>
          <t>The Gabonese Republic</t>
        </is>
      </c>
      <c r="F98" s="9" t="inlineStr">
        <is>
          <t>UN member state</t>
        </is>
      </c>
      <c r="G98" s="8" t="inlineStr">
        <is>
          <t>GAB</t>
        </is>
      </c>
      <c r="H98" s="8" t="n">
        <v>266</v>
      </c>
      <c r="I98" s="8" t="inlineStr">
        <is>
          <t>ISO 3166-2:GA</t>
        </is>
      </c>
      <c r="J98" s="8" t="inlineStr">
        <is>
          <t>.ga</t>
        </is>
      </c>
    </row>
    <row r="99">
      <c r="C99" s="8" t="inlineStr">
        <is>
          <t>GM</t>
        </is>
      </c>
      <c r="D99" s="10" t="inlineStr">
        <is>
          <t>Gambia (the)</t>
        </is>
      </c>
      <c r="E99" s="8" t="inlineStr">
        <is>
          <t>The Republic of The Gambia</t>
        </is>
      </c>
      <c r="F99" s="9" t="inlineStr">
        <is>
          <t>UN member state</t>
        </is>
      </c>
      <c r="G99" s="8" t="inlineStr">
        <is>
          <t>GMB</t>
        </is>
      </c>
      <c r="H99" s="8" t="n">
        <v>270</v>
      </c>
      <c r="I99" s="8" t="inlineStr">
        <is>
          <t>ISO 3166-2:GM</t>
        </is>
      </c>
      <c r="J99" s="8" t="inlineStr">
        <is>
          <t>.gm</t>
        </is>
      </c>
    </row>
    <row r="100">
      <c r="C100" s="8" t="inlineStr">
        <is>
          <t>GE</t>
        </is>
      </c>
      <c r="D100" s="10" t="inlineStr">
        <is>
          <t>Georgia</t>
        </is>
      </c>
      <c r="E100" s="8" t="inlineStr">
        <is>
          <t>Georgia</t>
        </is>
      </c>
      <c r="F100" s="9" t="inlineStr">
        <is>
          <t>UN member state</t>
        </is>
      </c>
      <c r="G100" s="8" t="inlineStr">
        <is>
          <t>GEO</t>
        </is>
      </c>
      <c r="H100" s="8" t="n">
        <v>268</v>
      </c>
      <c r="I100" s="8" t="inlineStr">
        <is>
          <t>ISO 3166-2:GE</t>
        </is>
      </c>
      <c r="J100" s="8" t="inlineStr">
        <is>
          <t>.ge</t>
        </is>
      </c>
    </row>
    <row r="101">
      <c r="C101" s="8" t="inlineStr">
        <is>
          <t>DE</t>
        </is>
      </c>
      <c r="D101" s="10" t="inlineStr">
        <is>
          <t>Germany</t>
        </is>
      </c>
      <c r="E101" s="8" t="inlineStr">
        <is>
          <t>The Federal Republic of Germany</t>
        </is>
      </c>
      <c r="F101" s="9" t="inlineStr">
        <is>
          <t>UN member state</t>
        </is>
      </c>
      <c r="G101" s="8" t="inlineStr">
        <is>
          <t>DEU</t>
        </is>
      </c>
      <c r="H101" s="8" t="n">
        <v>276</v>
      </c>
      <c r="I101" s="8" t="inlineStr">
        <is>
          <t>ISO 3166-2:DE</t>
        </is>
      </c>
      <c r="J101" s="8" t="inlineStr">
        <is>
          <t>.de</t>
        </is>
      </c>
    </row>
    <row r="102">
      <c r="C102" s="8" t="inlineStr">
        <is>
          <t>GH</t>
        </is>
      </c>
      <c r="D102" s="10" t="inlineStr">
        <is>
          <t>Ghana</t>
        </is>
      </c>
      <c r="E102" s="8" t="inlineStr">
        <is>
          <t>The Republic of Ghana</t>
        </is>
      </c>
      <c r="F102" s="9" t="inlineStr">
        <is>
          <t>UN member state</t>
        </is>
      </c>
      <c r="G102" s="8" t="inlineStr">
        <is>
          <t>GHA</t>
        </is>
      </c>
      <c r="H102" s="8" t="n">
        <v>288</v>
      </c>
      <c r="I102" s="8" t="inlineStr">
        <is>
          <t>ISO 3166-2:GH</t>
        </is>
      </c>
      <c r="J102" s="8" t="inlineStr">
        <is>
          <t>.gh</t>
        </is>
      </c>
    </row>
    <row r="103">
      <c r="C103" s="8" t="inlineStr">
        <is>
          <t>GI</t>
        </is>
      </c>
      <c r="D103" s="10" t="inlineStr">
        <is>
          <t>Gibraltar</t>
        </is>
      </c>
      <c r="E103" s="8" t="inlineStr">
        <is>
          <t>Gibraltar</t>
        </is>
      </c>
      <c r="F103" s="8" t="inlineStr">
        <is>
          <t>United Kingdom</t>
        </is>
      </c>
      <c r="G103" s="8" t="inlineStr">
        <is>
          <t>GIB</t>
        </is>
      </c>
      <c r="H103" s="8" t="n">
        <v>292</v>
      </c>
      <c r="I103" s="8" t="inlineStr">
        <is>
          <t>ISO 3166-2:GI</t>
        </is>
      </c>
      <c r="J103" s="8" t="inlineStr">
        <is>
          <t>.gi</t>
        </is>
      </c>
    </row>
    <row r="104" ht="12.75" customHeight="1">
      <c r="D104" s="10" t="inlineStr">
        <is>
          <t>Great Britain – See United Kingdom, The.</t>
        </is>
      </c>
    </row>
    <row r="105">
      <c r="C105" s="8" t="inlineStr">
        <is>
          <t>GR</t>
        </is>
      </c>
      <c r="D105" s="10" t="inlineStr">
        <is>
          <t>Greece</t>
        </is>
      </c>
      <c r="E105" s="8" t="inlineStr">
        <is>
          <t>The Hellenic Republic</t>
        </is>
      </c>
      <c r="F105" s="9" t="inlineStr">
        <is>
          <t>UN member state</t>
        </is>
      </c>
      <c r="G105" s="8" t="inlineStr">
        <is>
          <t>GRC</t>
        </is>
      </c>
      <c r="H105" s="8" t="n">
        <v>300</v>
      </c>
      <c r="I105" s="8" t="inlineStr">
        <is>
          <t>ISO 3166-2:GR</t>
        </is>
      </c>
      <c r="J105" s="8" t="inlineStr">
        <is>
          <t>.gr</t>
        </is>
      </c>
    </row>
    <row r="106">
      <c r="C106" s="8" t="inlineStr">
        <is>
          <t>GL</t>
        </is>
      </c>
      <c r="D106" s="10" t="inlineStr">
        <is>
          <t>Greenland</t>
        </is>
      </c>
      <c r="E106" s="8" t="inlineStr">
        <is>
          <t>Kalaallit Nunaat</t>
        </is>
      </c>
      <c r="F106" s="8" t="inlineStr">
        <is>
          <t>Denmark</t>
        </is>
      </c>
      <c r="G106" s="8" t="inlineStr">
        <is>
          <t>GRL</t>
        </is>
      </c>
      <c r="H106" s="8" t="n">
        <v>304</v>
      </c>
      <c r="I106" s="8" t="inlineStr">
        <is>
          <t>ISO 3166-2:GL</t>
        </is>
      </c>
      <c r="J106" s="8" t="inlineStr">
        <is>
          <t>.gl</t>
        </is>
      </c>
    </row>
    <row r="107">
      <c r="C107" s="8" t="inlineStr">
        <is>
          <t>GD</t>
        </is>
      </c>
      <c r="D107" s="10" t="inlineStr">
        <is>
          <t>Grenada</t>
        </is>
      </c>
      <c r="E107" s="8" t="inlineStr">
        <is>
          <t>Grenada</t>
        </is>
      </c>
      <c r="F107" s="9" t="inlineStr">
        <is>
          <t>UN member state</t>
        </is>
      </c>
      <c r="G107" s="8" t="inlineStr">
        <is>
          <t>GRD</t>
        </is>
      </c>
      <c r="H107" s="8" t="n">
        <v>308</v>
      </c>
      <c r="I107" s="8" t="inlineStr">
        <is>
          <t>ISO 3166-2:GD</t>
        </is>
      </c>
      <c r="J107" s="8" t="inlineStr">
        <is>
          <t>.gd</t>
        </is>
      </c>
    </row>
    <row r="108">
      <c r="C108" s="8" t="inlineStr">
        <is>
          <t>GP</t>
        </is>
      </c>
      <c r="D108" s="10" t="inlineStr">
        <is>
          <t>Guadeloupe</t>
        </is>
      </c>
      <c r="E108" s="8" t="inlineStr">
        <is>
          <t>Guadeloupe</t>
        </is>
      </c>
      <c r="F108" s="8" t="inlineStr">
        <is>
          <t>France</t>
        </is>
      </c>
      <c r="G108" s="8" t="inlineStr">
        <is>
          <t>GLP</t>
        </is>
      </c>
      <c r="H108" s="8" t="n">
        <v>312</v>
      </c>
      <c r="I108" s="8" t="inlineStr">
        <is>
          <t>ISO 3166-2:GP</t>
        </is>
      </c>
      <c r="J108" s="8" t="inlineStr">
        <is>
          <t>.gp</t>
        </is>
      </c>
    </row>
    <row r="109">
      <c r="C109" s="8" t="inlineStr">
        <is>
          <t>GU</t>
        </is>
      </c>
      <c r="D109" s="10" t="inlineStr">
        <is>
          <t>Guam</t>
        </is>
      </c>
      <c r="E109" s="8" t="inlineStr">
        <is>
          <t>The Territory of Guam</t>
        </is>
      </c>
      <c r="F109" s="8" t="inlineStr">
        <is>
          <t>United States</t>
        </is>
      </c>
      <c r="G109" s="8" t="inlineStr">
        <is>
          <t>GUM</t>
        </is>
      </c>
      <c r="H109" s="8" t="n">
        <v>316</v>
      </c>
      <c r="I109" s="8" t="inlineStr">
        <is>
          <t>ISO 3166-2:GU</t>
        </is>
      </c>
      <c r="J109" s="8" t="inlineStr">
        <is>
          <t>.gu</t>
        </is>
      </c>
    </row>
    <row r="110">
      <c r="C110" s="8" t="inlineStr">
        <is>
          <t>GT</t>
        </is>
      </c>
      <c r="D110" s="10" t="inlineStr">
        <is>
          <t>Guatemala</t>
        </is>
      </c>
      <c r="E110" s="8" t="inlineStr">
        <is>
          <t>The Republic of Guatemala</t>
        </is>
      </c>
      <c r="F110" s="9" t="inlineStr">
        <is>
          <t>UN member state</t>
        </is>
      </c>
      <c r="G110" s="8" t="inlineStr">
        <is>
          <t>GTM</t>
        </is>
      </c>
      <c r="H110" s="8" t="n">
        <v>320</v>
      </c>
      <c r="I110" s="8" t="inlineStr">
        <is>
          <t>ISO 3166-2:GT</t>
        </is>
      </c>
      <c r="J110" s="8" t="inlineStr">
        <is>
          <t>.gt</t>
        </is>
      </c>
    </row>
    <row r="111">
      <c r="C111" s="8" t="inlineStr">
        <is>
          <t>GG</t>
        </is>
      </c>
      <c r="D111" s="10" t="inlineStr">
        <is>
          <t>Guernsey</t>
        </is>
      </c>
      <c r="E111" s="8" t="inlineStr">
        <is>
          <t>The Bailiwick of Guernsey</t>
        </is>
      </c>
      <c r="F111" s="8" t="inlineStr">
        <is>
          <t>British Crown</t>
        </is>
      </c>
      <c r="G111" s="8" t="inlineStr">
        <is>
          <t>GGY</t>
        </is>
      </c>
      <c r="H111" s="8" t="n">
        <v>831</v>
      </c>
      <c r="I111" s="8" t="inlineStr">
        <is>
          <t>ISO 3166-2:GG</t>
        </is>
      </c>
      <c r="J111" s="8" t="inlineStr">
        <is>
          <t>.gg</t>
        </is>
      </c>
    </row>
    <row r="112">
      <c r="C112" s="8" t="inlineStr">
        <is>
          <t>GN</t>
        </is>
      </c>
      <c r="D112" s="10" t="inlineStr">
        <is>
          <t>Guinea</t>
        </is>
      </c>
      <c r="E112" s="8" t="inlineStr">
        <is>
          <t>The Republic of Guinea</t>
        </is>
      </c>
      <c r="F112" s="9" t="inlineStr">
        <is>
          <t>UN member state</t>
        </is>
      </c>
      <c r="G112" s="8" t="inlineStr">
        <is>
          <t>GIN</t>
        </is>
      </c>
      <c r="H112" s="8" t="n">
        <v>324</v>
      </c>
      <c r="I112" s="8" t="inlineStr">
        <is>
          <t>ISO 3166-2:GN</t>
        </is>
      </c>
      <c r="J112" s="8" t="inlineStr">
        <is>
          <t>.gn</t>
        </is>
      </c>
    </row>
    <row r="113">
      <c r="C113" s="8" t="inlineStr">
        <is>
          <t>GW</t>
        </is>
      </c>
      <c r="D113" s="10" t="inlineStr">
        <is>
          <t>Guinea-Bissau</t>
        </is>
      </c>
      <c r="E113" s="8" t="inlineStr">
        <is>
          <t>The Republic of Guinea-Bissau</t>
        </is>
      </c>
      <c r="F113" s="9" t="inlineStr">
        <is>
          <t>UN member state</t>
        </is>
      </c>
      <c r="G113" s="8" t="inlineStr">
        <is>
          <t>GNB</t>
        </is>
      </c>
      <c r="H113" s="8" t="n">
        <v>624</v>
      </c>
      <c r="I113" s="8" t="inlineStr">
        <is>
          <t>ISO 3166-2:GW</t>
        </is>
      </c>
      <c r="J113" s="8" t="inlineStr">
        <is>
          <t>.gw</t>
        </is>
      </c>
    </row>
    <row r="114">
      <c r="C114" s="8" t="inlineStr">
        <is>
          <t>GY</t>
        </is>
      </c>
      <c r="D114" s="10" t="inlineStr">
        <is>
          <t>Guyana</t>
        </is>
      </c>
      <c r="E114" s="8" t="inlineStr">
        <is>
          <t>The Co-operative Republic of Guyana</t>
        </is>
      </c>
      <c r="F114" s="9" t="inlineStr">
        <is>
          <t>UN member state</t>
        </is>
      </c>
      <c r="G114" s="8" t="inlineStr">
        <is>
          <t>GUY</t>
        </is>
      </c>
      <c r="H114" s="8" t="n">
        <v>328</v>
      </c>
      <c r="I114" s="8" t="inlineStr">
        <is>
          <t>ISO 3166-2:GY</t>
        </is>
      </c>
      <c r="J114" s="8" t="inlineStr">
        <is>
          <t>.gy</t>
        </is>
      </c>
    </row>
    <row r="115">
      <c r="C115" s="8" t="inlineStr">
        <is>
          <t>HT</t>
        </is>
      </c>
      <c r="D115" s="10" t="inlineStr">
        <is>
          <t>Haiti</t>
        </is>
      </c>
      <c r="E115" s="8" t="inlineStr">
        <is>
          <t>The Republic of Haiti</t>
        </is>
      </c>
      <c r="F115" s="9" t="inlineStr">
        <is>
          <t>UN member state</t>
        </is>
      </c>
      <c r="G115" s="8" t="inlineStr">
        <is>
          <t>HTI</t>
        </is>
      </c>
      <c r="H115" s="8" t="n">
        <v>332</v>
      </c>
      <c r="I115" s="8" t="inlineStr">
        <is>
          <t>ISO 3166-2:HT</t>
        </is>
      </c>
      <c r="J115" s="8" t="inlineStr">
        <is>
          <t>.ht</t>
        </is>
      </c>
    </row>
    <row r="116" ht="12.75" customHeight="1">
      <c r="D116" s="10" t="inlineStr">
        <is>
          <t>Hawaiian Islands – See United States of America, The.</t>
        </is>
      </c>
    </row>
    <row r="117" ht="25.5" customHeight="1">
      <c r="C117" s="8" t="inlineStr">
        <is>
          <t>HM</t>
        </is>
      </c>
      <c r="D117" s="10" t="inlineStr">
        <is>
          <t>Heard Island and McDonald Islands</t>
        </is>
      </c>
      <c r="E117" s="8" t="inlineStr">
        <is>
          <t>The Territory of Heard Island and McDonald Islands</t>
        </is>
      </c>
      <c r="F117" s="8" t="inlineStr">
        <is>
          <t>Australia</t>
        </is>
      </c>
      <c r="G117" s="8" t="inlineStr">
        <is>
          <t>HMD</t>
        </is>
      </c>
      <c r="H117" s="8" t="n">
        <v>334</v>
      </c>
      <c r="I117" s="8" t="inlineStr">
        <is>
          <t>ISO 3166-2:HM</t>
        </is>
      </c>
      <c r="J117" s="8" t="inlineStr">
        <is>
          <t>.hm</t>
        </is>
      </c>
    </row>
    <row r="118" ht="14.25" customHeight="1">
      <c r="C118" s="8" t="inlineStr">
        <is>
          <t>VA</t>
        </is>
      </c>
      <c r="D118" s="10" t="inlineStr">
        <is>
          <t>Holy See</t>
        </is>
      </c>
      <c r="E118" s="8" t="inlineStr">
        <is>
          <t>The Holy See</t>
        </is>
      </c>
      <c r="F118" s="9" t="inlineStr">
        <is>
          <t>UN observer</t>
        </is>
      </c>
      <c r="G118" s="8" t="inlineStr">
        <is>
          <t>VAT</t>
        </is>
      </c>
      <c r="H118" s="8" t="n">
        <v>336</v>
      </c>
      <c r="I118" s="8" t="inlineStr">
        <is>
          <t>ISO 3166-2:VA</t>
        </is>
      </c>
      <c r="J118" s="8" t="inlineStr">
        <is>
          <t>.va</t>
        </is>
      </c>
    </row>
    <row r="119">
      <c r="C119" s="8" t="inlineStr">
        <is>
          <t>HN</t>
        </is>
      </c>
      <c r="D119" s="10" t="inlineStr">
        <is>
          <t>Honduras</t>
        </is>
      </c>
      <c r="E119" s="8" t="inlineStr">
        <is>
          <t>The Republic of Honduras</t>
        </is>
      </c>
      <c r="F119" s="9" t="inlineStr">
        <is>
          <t>UN member state</t>
        </is>
      </c>
      <c r="G119" s="8" t="inlineStr">
        <is>
          <t>HND</t>
        </is>
      </c>
      <c r="H119" s="8" t="n">
        <v>340</v>
      </c>
      <c r="I119" s="8" t="inlineStr">
        <is>
          <t>ISO 3166-2:HN</t>
        </is>
      </c>
      <c r="J119" s="8" t="inlineStr">
        <is>
          <t>.hn</t>
        </is>
      </c>
    </row>
    <row r="120" ht="27" customHeight="1">
      <c r="C120" s="8" t="inlineStr">
        <is>
          <t>HK</t>
        </is>
      </c>
      <c r="D120" s="10" t="inlineStr">
        <is>
          <t>Hong Kong</t>
        </is>
      </c>
      <c r="E120" s="8" t="inlineStr">
        <is>
          <t>The Hong Kong Special Administrative Region of China[10]</t>
        </is>
      </c>
      <c r="F120" s="8" t="inlineStr">
        <is>
          <t>China</t>
        </is>
      </c>
      <c r="G120" s="8" t="inlineStr">
        <is>
          <t>HKG</t>
        </is>
      </c>
      <c r="H120" s="8" t="n">
        <v>344</v>
      </c>
      <c r="I120" s="8" t="inlineStr">
        <is>
          <t>ISO 3166-2:HK</t>
        </is>
      </c>
      <c r="J120" s="8" t="inlineStr">
        <is>
          <t>.hk</t>
        </is>
      </c>
    </row>
    <row r="121">
      <c r="C121" s="8" t="inlineStr">
        <is>
          <t>HU</t>
        </is>
      </c>
      <c r="D121" s="10" t="inlineStr">
        <is>
          <t>Hungary</t>
        </is>
      </c>
      <c r="E121" s="8" t="inlineStr">
        <is>
          <t>Hungary</t>
        </is>
      </c>
      <c r="F121" s="9" t="inlineStr">
        <is>
          <t>UN member state</t>
        </is>
      </c>
      <c r="G121" s="8" t="inlineStr">
        <is>
          <t>HUN</t>
        </is>
      </c>
      <c r="H121" s="8" t="n">
        <v>348</v>
      </c>
      <c r="I121" s="8" t="inlineStr">
        <is>
          <t>ISO 3166-2:HU</t>
        </is>
      </c>
      <c r="J121" s="8" t="inlineStr">
        <is>
          <t>.hu</t>
        </is>
      </c>
    </row>
    <row r="122">
      <c r="C122" s="8" t="inlineStr">
        <is>
          <t>IS</t>
        </is>
      </c>
      <c r="D122" s="10" t="inlineStr">
        <is>
          <t>Iceland</t>
        </is>
      </c>
      <c r="E122" s="8" t="inlineStr">
        <is>
          <t>Iceland</t>
        </is>
      </c>
      <c r="F122" s="9" t="inlineStr">
        <is>
          <t>UN member state</t>
        </is>
      </c>
      <c r="G122" s="8" t="inlineStr">
        <is>
          <t>ISL</t>
        </is>
      </c>
      <c r="H122" s="8" t="n">
        <v>352</v>
      </c>
      <c r="I122" s="8" t="inlineStr">
        <is>
          <t>ISO 3166-2:IS</t>
        </is>
      </c>
      <c r="J122" s="8" t="inlineStr">
        <is>
          <t>.is</t>
        </is>
      </c>
    </row>
    <row r="123">
      <c r="C123" s="8" t="inlineStr">
        <is>
          <t>IN</t>
        </is>
      </c>
      <c r="D123" s="10" t="inlineStr">
        <is>
          <t>India</t>
        </is>
      </c>
      <c r="E123" s="8" t="inlineStr">
        <is>
          <t>The Republic of India</t>
        </is>
      </c>
      <c r="F123" s="9" t="inlineStr">
        <is>
          <t>UN member state</t>
        </is>
      </c>
      <c r="G123" s="8" t="inlineStr">
        <is>
          <t>IND</t>
        </is>
      </c>
      <c r="H123" s="8" t="n">
        <v>356</v>
      </c>
      <c r="I123" s="8" t="inlineStr">
        <is>
          <t>ISO 3166-2:IN</t>
        </is>
      </c>
      <c r="J123" s="8" t="inlineStr">
        <is>
          <t>.in</t>
        </is>
      </c>
    </row>
    <row r="124">
      <c r="C124" s="8" t="inlineStr">
        <is>
          <t>ID</t>
        </is>
      </c>
      <c r="D124" s="10" t="inlineStr">
        <is>
          <t>Indonesia</t>
        </is>
      </c>
      <c r="E124" s="8" t="inlineStr">
        <is>
          <t>The Republic of Indonesia</t>
        </is>
      </c>
      <c r="F124" s="9" t="inlineStr">
        <is>
          <t>UN member state</t>
        </is>
      </c>
      <c r="G124" s="8" t="inlineStr">
        <is>
          <t>IDN</t>
        </is>
      </c>
      <c r="H124" s="8" t="n">
        <v>360</v>
      </c>
      <c r="I124" s="8" t="inlineStr">
        <is>
          <t>ISO 3166-2:ID</t>
        </is>
      </c>
      <c r="J124" s="8" t="inlineStr">
        <is>
          <t>.id</t>
        </is>
      </c>
    </row>
    <row r="125" ht="25.5" customHeight="1">
      <c r="C125" s="8" t="inlineStr">
        <is>
          <t>IR</t>
        </is>
      </c>
      <c r="D125" s="10" t="inlineStr">
        <is>
          <t>Iran (Islamic Republic of)</t>
        </is>
      </c>
      <c r="E125" s="8" t="inlineStr">
        <is>
          <t>The Islamic Republic of Iran</t>
        </is>
      </c>
      <c r="F125" s="9" t="inlineStr">
        <is>
          <t>UN member state</t>
        </is>
      </c>
      <c r="G125" s="8" t="inlineStr">
        <is>
          <t>IRN</t>
        </is>
      </c>
      <c r="H125" s="8" t="n">
        <v>364</v>
      </c>
      <c r="I125" s="8" t="inlineStr">
        <is>
          <t>ISO 3166-2:IR</t>
        </is>
      </c>
      <c r="J125" s="8" t="inlineStr">
        <is>
          <t>.ir</t>
        </is>
      </c>
    </row>
    <row r="126">
      <c r="C126" s="8" t="inlineStr">
        <is>
          <t>IQ</t>
        </is>
      </c>
      <c r="D126" s="10" t="inlineStr">
        <is>
          <t>Iraq</t>
        </is>
      </c>
      <c r="E126" s="8" t="inlineStr">
        <is>
          <t>The Republic of Iraq</t>
        </is>
      </c>
      <c r="F126" s="9" t="inlineStr">
        <is>
          <t>UN member state</t>
        </is>
      </c>
      <c r="G126" s="8" t="inlineStr">
        <is>
          <t>IRQ</t>
        </is>
      </c>
      <c r="H126" s="8" t="n">
        <v>368</v>
      </c>
      <c r="I126" s="8" t="inlineStr">
        <is>
          <t>ISO 3166-2:IQ</t>
        </is>
      </c>
      <c r="J126" s="8" t="inlineStr">
        <is>
          <t>.iq</t>
        </is>
      </c>
    </row>
    <row r="127">
      <c r="C127" s="8" t="inlineStr">
        <is>
          <t>IE</t>
        </is>
      </c>
      <c r="D127" s="10" t="inlineStr">
        <is>
          <t>Ireland</t>
        </is>
      </c>
      <c r="E127" s="8" t="inlineStr">
        <is>
          <t>Ireland</t>
        </is>
      </c>
      <c r="F127" s="9" t="inlineStr">
        <is>
          <t>UN member state</t>
        </is>
      </c>
      <c r="G127" s="8" t="inlineStr">
        <is>
          <t>IRL</t>
        </is>
      </c>
      <c r="H127" s="8" t="n">
        <v>372</v>
      </c>
      <c r="I127" s="8" t="inlineStr">
        <is>
          <t>ISO 3166-2:IE</t>
        </is>
      </c>
      <c r="J127" s="8" t="inlineStr">
        <is>
          <t>.ie</t>
        </is>
      </c>
    </row>
    <row r="128">
      <c r="C128" s="8" t="inlineStr">
        <is>
          <t>IM</t>
        </is>
      </c>
      <c r="D128" s="10" t="inlineStr">
        <is>
          <t>Isle of Man</t>
        </is>
      </c>
      <c r="E128" s="8" t="inlineStr">
        <is>
          <t>The Isle of Man</t>
        </is>
      </c>
      <c r="F128" s="8" t="inlineStr">
        <is>
          <t>British Crown</t>
        </is>
      </c>
      <c r="G128" s="8" t="inlineStr">
        <is>
          <t>IMN</t>
        </is>
      </c>
      <c r="H128" s="8" t="n">
        <v>833</v>
      </c>
      <c r="I128" s="8" t="inlineStr">
        <is>
          <t>ISO 3166-2:IM</t>
        </is>
      </c>
      <c r="J128" s="8" t="inlineStr">
        <is>
          <t>.im</t>
        </is>
      </c>
    </row>
    <row r="129">
      <c r="C129" s="8" t="inlineStr">
        <is>
          <t>IL</t>
        </is>
      </c>
      <c r="D129" s="10" t="inlineStr">
        <is>
          <t>Israel</t>
        </is>
      </c>
      <c r="E129" s="8" t="inlineStr">
        <is>
          <t>The State of Israel</t>
        </is>
      </c>
      <c r="F129" s="9" t="inlineStr">
        <is>
          <t>UN member state</t>
        </is>
      </c>
      <c r="G129" s="8" t="inlineStr">
        <is>
          <t>ISR</t>
        </is>
      </c>
      <c r="H129" s="8" t="n">
        <v>376</v>
      </c>
      <c r="I129" s="8" t="inlineStr">
        <is>
          <t>ISO 3166-2:IL</t>
        </is>
      </c>
      <c r="J129" s="8" t="inlineStr">
        <is>
          <t>.il</t>
        </is>
      </c>
    </row>
    <row r="130">
      <c r="C130" s="8" t="inlineStr">
        <is>
          <t>IT</t>
        </is>
      </c>
      <c r="D130" s="10" t="inlineStr">
        <is>
          <t>Italy</t>
        </is>
      </c>
      <c r="E130" s="8" t="inlineStr">
        <is>
          <t>The Italian Republic</t>
        </is>
      </c>
      <c r="F130" s="9" t="inlineStr">
        <is>
          <t>UN member state</t>
        </is>
      </c>
      <c r="G130" s="8" t="inlineStr">
        <is>
          <t>ITA</t>
        </is>
      </c>
      <c r="H130" s="8" t="n">
        <v>380</v>
      </c>
      <c r="I130" s="8" t="inlineStr">
        <is>
          <t>ISO 3166-2:IT</t>
        </is>
      </c>
      <c r="J130" s="8" t="inlineStr">
        <is>
          <t>.it</t>
        </is>
      </c>
    </row>
    <row r="131" ht="12.75" customHeight="1">
      <c r="D131" s="10" t="inlineStr">
        <is>
          <t>Ivory Coast – See Côte d'Ivoire.</t>
        </is>
      </c>
    </row>
    <row r="132">
      <c r="C132" s="8" t="inlineStr">
        <is>
          <t>JM</t>
        </is>
      </c>
      <c r="D132" s="10" t="inlineStr">
        <is>
          <t>Jamaica</t>
        </is>
      </c>
      <c r="E132" s="8" t="inlineStr">
        <is>
          <t>Jamaica</t>
        </is>
      </c>
      <c r="F132" s="9" t="inlineStr">
        <is>
          <t>UN member state</t>
        </is>
      </c>
      <c r="G132" s="8" t="inlineStr">
        <is>
          <t>JAM</t>
        </is>
      </c>
      <c r="H132" s="8" t="n">
        <v>388</v>
      </c>
      <c r="I132" s="8" t="inlineStr">
        <is>
          <t>ISO 3166-2:JM</t>
        </is>
      </c>
      <c r="J132" s="8" t="inlineStr">
        <is>
          <t>.jm</t>
        </is>
      </c>
    </row>
    <row r="133" ht="12.75" customHeight="1">
      <c r="D133" s="10" t="inlineStr">
        <is>
          <t>Jan Mayen – See Svalbard and Jan Mayen.</t>
        </is>
      </c>
    </row>
    <row r="134">
      <c r="C134" s="8" t="inlineStr">
        <is>
          <t>JP</t>
        </is>
      </c>
      <c r="D134" s="10" t="inlineStr">
        <is>
          <t>Japan</t>
        </is>
      </c>
      <c r="E134" s="8" t="inlineStr">
        <is>
          <t>Japan</t>
        </is>
      </c>
      <c r="F134" s="9" t="inlineStr">
        <is>
          <t>UN member state</t>
        </is>
      </c>
      <c r="G134" s="8" t="inlineStr">
        <is>
          <t>JPN</t>
        </is>
      </c>
      <c r="H134" s="8" t="n">
        <v>392</v>
      </c>
      <c r="I134" s="8" t="inlineStr">
        <is>
          <t>ISO 3166-2:JP</t>
        </is>
      </c>
      <c r="J134" s="8" t="inlineStr">
        <is>
          <t>.jp</t>
        </is>
      </c>
    </row>
    <row r="135">
      <c r="C135" s="8" t="inlineStr">
        <is>
          <t>JE</t>
        </is>
      </c>
      <c r="D135" s="10" t="inlineStr">
        <is>
          <t>Jersey</t>
        </is>
      </c>
      <c r="E135" s="8" t="inlineStr">
        <is>
          <t>The Bailiwick of Jersey</t>
        </is>
      </c>
      <c r="F135" s="8" t="inlineStr">
        <is>
          <t>British Crown</t>
        </is>
      </c>
      <c r="G135" s="8" t="inlineStr">
        <is>
          <t>JEY</t>
        </is>
      </c>
      <c r="H135" s="8" t="n">
        <v>832</v>
      </c>
      <c r="I135" s="8" t="inlineStr">
        <is>
          <t>ISO 3166-2:JE</t>
        </is>
      </c>
      <c r="J135" s="8" t="inlineStr">
        <is>
          <t>.je</t>
        </is>
      </c>
    </row>
    <row r="136">
      <c r="C136" s="8" t="inlineStr">
        <is>
          <t>JO</t>
        </is>
      </c>
      <c r="D136" s="10" t="inlineStr">
        <is>
          <t>Jordan</t>
        </is>
      </c>
      <c r="E136" s="8" t="inlineStr">
        <is>
          <t>The Hashemite Kingdom of Jordan</t>
        </is>
      </c>
      <c r="F136" s="9" t="inlineStr">
        <is>
          <t>UN member state</t>
        </is>
      </c>
      <c r="G136" s="8" t="inlineStr">
        <is>
          <t>JOR</t>
        </is>
      </c>
      <c r="H136" s="8" t="n">
        <v>400</v>
      </c>
      <c r="I136" s="8" t="inlineStr">
        <is>
          <t>ISO 3166-2:JO</t>
        </is>
      </c>
      <c r="J136" s="8" t="inlineStr">
        <is>
          <t>.jo</t>
        </is>
      </c>
    </row>
    <row r="137">
      <c r="C137" s="8" t="inlineStr">
        <is>
          <t>KZ</t>
        </is>
      </c>
      <c r="D137" s="10" t="inlineStr">
        <is>
          <t>Kazakhstan</t>
        </is>
      </c>
      <c r="E137" s="8" t="inlineStr">
        <is>
          <t>The Republic of Kazakhstan</t>
        </is>
      </c>
      <c r="F137" s="9" t="inlineStr">
        <is>
          <t>UN member state</t>
        </is>
      </c>
      <c r="G137" s="8" t="inlineStr">
        <is>
          <t>KAZ</t>
        </is>
      </c>
      <c r="H137" s="8" t="n">
        <v>398</v>
      </c>
      <c r="I137" s="8" t="inlineStr">
        <is>
          <t>ISO 3166-2:KZ</t>
        </is>
      </c>
      <c r="J137" s="8" t="inlineStr">
        <is>
          <t>.kz</t>
        </is>
      </c>
    </row>
    <row r="138">
      <c r="C138" s="8" t="inlineStr">
        <is>
          <t>KE</t>
        </is>
      </c>
      <c r="D138" s="10" t="inlineStr">
        <is>
          <t>Kenya</t>
        </is>
      </c>
      <c r="E138" s="8" t="inlineStr">
        <is>
          <t>The Republic of Kenya</t>
        </is>
      </c>
      <c r="F138" s="9" t="inlineStr">
        <is>
          <t>UN member state</t>
        </is>
      </c>
      <c r="G138" s="8" t="inlineStr">
        <is>
          <t>KEN</t>
        </is>
      </c>
      <c r="H138" s="8" t="n">
        <v>404</v>
      </c>
      <c r="I138" s="8" t="inlineStr">
        <is>
          <t>ISO 3166-2:KE</t>
        </is>
      </c>
      <c r="J138" s="8" t="inlineStr">
        <is>
          <t>.ke</t>
        </is>
      </c>
    </row>
    <row r="139">
      <c r="C139" s="8" t="inlineStr">
        <is>
          <t>KI</t>
        </is>
      </c>
      <c r="D139" s="10" t="inlineStr">
        <is>
          <t>Kiribati</t>
        </is>
      </c>
      <c r="E139" s="8" t="inlineStr">
        <is>
          <t>The Republic of Kiribati</t>
        </is>
      </c>
      <c r="F139" s="9" t="inlineStr">
        <is>
          <t>UN member state</t>
        </is>
      </c>
      <c r="G139" s="8" t="inlineStr">
        <is>
          <t>KIR</t>
        </is>
      </c>
      <c r="H139" s="8" t="n">
        <v>296</v>
      </c>
      <c r="I139" s="8" t="inlineStr">
        <is>
          <t>ISO 3166-2:KI</t>
        </is>
      </c>
      <c r="J139" s="8" t="inlineStr">
        <is>
          <t>.ki</t>
        </is>
      </c>
    </row>
    <row r="140" ht="39.75" customHeight="1">
      <c r="C140" s="8" t="inlineStr">
        <is>
          <t>KP</t>
        </is>
      </c>
      <c r="D140" s="11" t="inlineStr">
        <is>
          <t>North Korea</t>
        </is>
      </c>
      <c r="E140" s="8" t="inlineStr">
        <is>
          <t>The Democratic People's Republic of Korea</t>
        </is>
      </c>
      <c r="F140" s="9" t="inlineStr">
        <is>
          <t>UN member state</t>
        </is>
      </c>
      <c r="G140" s="8" t="inlineStr">
        <is>
          <t>PRK</t>
        </is>
      </c>
      <c r="H140" s="8" t="n">
        <v>408</v>
      </c>
      <c r="I140" s="8" t="inlineStr">
        <is>
          <t>ISO 3166-2:KP</t>
        </is>
      </c>
      <c r="J140" s="8" t="inlineStr">
        <is>
          <t>.kp</t>
        </is>
      </c>
    </row>
    <row r="141" ht="27" customHeight="1">
      <c r="C141" s="8" t="inlineStr">
        <is>
          <t>KR</t>
        </is>
      </c>
      <c r="D141" s="11" t="inlineStr">
        <is>
          <t>South Korea</t>
        </is>
      </c>
      <c r="E141" s="8" t="inlineStr">
        <is>
          <t>The Republic of Korea</t>
        </is>
      </c>
      <c r="F141" s="9" t="inlineStr">
        <is>
          <t>UN member state</t>
        </is>
      </c>
      <c r="G141" s="8" t="inlineStr">
        <is>
          <t>KOR</t>
        </is>
      </c>
      <c r="H141" s="8" t="n">
        <v>410</v>
      </c>
      <c r="I141" s="8" t="inlineStr">
        <is>
          <t>ISO 3166-2:KR</t>
        </is>
      </c>
      <c r="J141" s="8" t="inlineStr">
        <is>
          <t>.kr</t>
        </is>
      </c>
    </row>
    <row r="142">
      <c r="C142" s="8" t="inlineStr">
        <is>
          <t>KW</t>
        </is>
      </c>
      <c r="D142" s="10" t="inlineStr">
        <is>
          <t>Kuwait</t>
        </is>
      </c>
      <c r="E142" s="8" t="inlineStr">
        <is>
          <t>The State of Kuwait</t>
        </is>
      </c>
      <c r="F142" s="9" t="inlineStr">
        <is>
          <t>UN member state</t>
        </is>
      </c>
      <c r="G142" s="8" t="inlineStr">
        <is>
          <t>KWT</t>
        </is>
      </c>
      <c r="H142" s="8" t="n">
        <v>414</v>
      </c>
      <c r="I142" s="8" t="inlineStr">
        <is>
          <t>ISO 3166-2:KW</t>
        </is>
      </c>
      <c r="J142" s="8" t="inlineStr">
        <is>
          <t>.kw</t>
        </is>
      </c>
    </row>
    <row r="143">
      <c r="C143" s="8" t="inlineStr">
        <is>
          <t>KG</t>
        </is>
      </c>
      <c r="D143" s="10" t="inlineStr">
        <is>
          <t>Kyrgyzstan</t>
        </is>
      </c>
      <c r="E143" s="8" t="inlineStr">
        <is>
          <t>The Kyrgyz Republic</t>
        </is>
      </c>
      <c r="F143" s="9" t="inlineStr">
        <is>
          <t>UN member state</t>
        </is>
      </c>
      <c r="G143" s="8" t="inlineStr">
        <is>
          <t>KGZ</t>
        </is>
      </c>
      <c r="H143" s="8" t="n">
        <v>417</v>
      </c>
      <c r="I143" s="8" t="inlineStr">
        <is>
          <t>ISO 3166-2:KG</t>
        </is>
      </c>
      <c r="J143" s="8" t="inlineStr">
        <is>
          <t>.kg</t>
        </is>
      </c>
    </row>
    <row r="144" ht="39.75" customHeight="1">
      <c r="C144" s="8" t="inlineStr">
        <is>
          <t>LA</t>
        </is>
      </c>
      <c r="D144" s="10" t="inlineStr">
        <is>
          <t>Lao People's Democratic Republic</t>
        </is>
      </c>
      <c r="E144" s="8" t="inlineStr">
        <is>
          <t>The Lao People's Democratic Republic</t>
        </is>
      </c>
      <c r="F144" s="9" t="inlineStr">
        <is>
          <t>UN member state</t>
        </is>
      </c>
      <c r="G144" s="8" t="inlineStr">
        <is>
          <t>LAO</t>
        </is>
      </c>
      <c r="H144" s="8" t="n">
        <v>418</v>
      </c>
      <c r="I144" s="8" t="inlineStr">
        <is>
          <t>ISO 3166-2:LA</t>
        </is>
      </c>
      <c r="J144" s="8" t="inlineStr">
        <is>
          <t>.la</t>
        </is>
      </c>
    </row>
    <row r="145">
      <c r="C145" s="8" t="inlineStr">
        <is>
          <t>LV</t>
        </is>
      </c>
      <c r="D145" s="10" t="inlineStr">
        <is>
          <t>Latvia</t>
        </is>
      </c>
      <c r="E145" s="8" t="inlineStr">
        <is>
          <t>The Republic of Latvia</t>
        </is>
      </c>
      <c r="F145" s="9" t="inlineStr">
        <is>
          <t>UN member state</t>
        </is>
      </c>
      <c r="G145" s="8" t="inlineStr">
        <is>
          <t>LVA</t>
        </is>
      </c>
      <c r="H145" s="8" t="n">
        <v>428</v>
      </c>
      <c r="I145" s="8" t="inlineStr">
        <is>
          <t>ISO 3166-2:LV</t>
        </is>
      </c>
      <c r="J145" s="8" t="inlineStr">
        <is>
          <t>.lv</t>
        </is>
      </c>
    </row>
    <row r="146">
      <c r="C146" s="8" t="inlineStr">
        <is>
          <t>LB</t>
        </is>
      </c>
      <c r="D146" s="10" t="inlineStr">
        <is>
          <t>Lebanon</t>
        </is>
      </c>
      <c r="E146" s="8" t="inlineStr">
        <is>
          <t>The Lebanese Republic</t>
        </is>
      </c>
      <c r="F146" s="9" t="inlineStr">
        <is>
          <t>UN member state</t>
        </is>
      </c>
      <c r="G146" s="8" t="inlineStr">
        <is>
          <t>LBN</t>
        </is>
      </c>
      <c r="H146" s="8" t="n">
        <v>422</v>
      </c>
      <c r="I146" s="8" t="inlineStr">
        <is>
          <t>ISO 3166-2:LB</t>
        </is>
      </c>
      <c r="J146" s="8" t="inlineStr">
        <is>
          <t>.lb</t>
        </is>
      </c>
    </row>
    <row r="147">
      <c r="C147" s="8" t="inlineStr">
        <is>
          <t>LS</t>
        </is>
      </c>
      <c r="D147" s="10" t="inlineStr">
        <is>
          <t>Lesotho</t>
        </is>
      </c>
      <c r="E147" s="8" t="inlineStr">
        <is>
          <t>The Kingdom of Lesotho</t>
        </is>
      </c>
      <c r="F147" s="9" t="inlineStr">
        <is>
          <t>UN member state</t>
        </is>
      </c>
      <c r="G147" s="8" t="inlineStr">
        <is>
          <t>LSO</t>
        </is>
      </c>
      <c r="H147" s="8" t="n">
        <v>426</v>
      </c>
      <c r="I147" s="8" t="inlineStr">
        <is>
          <t>ISO 3166-2:LS</t>
        </is>
      </c>
      <c r="J147" s="8" t="inlineStr">
        <is>
          <t>.ls</t>
        </is>
      </c>
    </row>
    <row r="148">
      <c r="C148" s="8" t="inlineStr">
        <is>
          <t>LR</t>
        </is>
      </c>
      <c r="D148" s="10" t="inlineStr">
        <is>
          <t>Liberia</t>
        </is>
      </c>
      <c r="E148" s="8" t="inlineStr">
        <is>
          <t>The Republic of Liberia</t>
        </is>
      </c>
      <c r="F148" s="9" t="inlineStr">
        <is>
          <t>UN member state</t>
        </is>
      </c>
      <c r="G148" s="8" t="inlineStr">
        <is>
          <t>LBR</t>
        </is>
      </c>
      <c r="H148" s="8" t="n">
        <v>430</v>
      </c>
      <c r="I148" s="8" t="inlineStr">
        <is>
          <t>ISO 3166-2:LR</t>
        </is>
      </c>
      <c r="J148" s="8" t="inlineStr">
        <is>
          <t>.lr</t>
        </is>
      </c>
    </row>
    <row r="149">
      <c r="C149" s="8" t="inlineStr">
        <is>
          <t>LY</t>
        </is>
      </c>
      <c r="D149" s="10" t="inlineStr">
        <is>
          <t>Libya</t>
        </is>
      </c>
      <c r="E149" s="8" t="inlineStr">
        <is>
          <t>The State of Libya</t>
        </is>
      </c>
      <c r="F149" s="9" t="inlineStr">
        <is>
          <t>UN member state</t>
        </is>
      </c>
      <c r="G149" s="8" t="inlineStr">
        <is>
          <t>LBY</t>
        </is>
      </c>
      <c r="H149" s="8" t="n">
        <v>434</v>
      </c>
      <c r="I149" s="8" t="inlineStr">
        <is>
          <t>ISO 3166-2:LY</t>
        </is>
      </c>
      <c r="J149" s="8" t="inlineStr">
        <is>
          <t>.ly</t>
        </is>
      </c>
    </row>
    <row r="150">
      <c r="C150" s="8" t="inlineStr">
        <is>
          <t>LI</t>
        </is>
      </c>
      <c r="D150" s="10" t="inlineStr">
        <is>
          <t>Liechtenstein</t>
        </is>
      </c>
      <c r="E150" s="8" t="inlineStr">
        <is>
          <t>The Principality of Liechtenstein</t>
        </is>
      </c>
      <c r="F150" s="9" t="inlineStr">
        <is>
          <t>UN member state</t>
        </is>
      </c>
      <c r="G150" s="8" t="inlineStr">
        <is>
          <t>LIE</t>
        </is>
      </c>
      <c r="H150" s="8" t="n">
        <v>438</v>
      </c>
      <c r="I150" s="8" t="inlineStr">
        <is>
          <t>ISO 3166-2:LI</t>
        </is>
      </c>
      <c r="J150" s="8" t="inlineStr">
        <is>
          <t>.li</t>
        </is>
      </c>
    </row>
    <row r="151">
      <c r="C151" s="8" t="inlineStr">
        <is>
          <t>LT</t>
        </is>
      </c>
      <c r="D151" s="10" t="inlineStr">
        <is>
          <t>Lithuania</t>
        </is>
      </c>
      <c r="E151" s="8" t="inlineStr">
        <is>
          <t>The Republic of Lithuania</t>
        </is>
      </c>
      <c r="F151" s="9" t="inlineStr">
        <is>
          <t>UN member state</t>
        </is>
      </c>
      <c r="G151" s="8" t="inlineStr">
        <is>
          <t>LTU</t>
        </is>
      </c>
      <c r="H151" s="8" t="n">
        <v>440</v>
      </c>
      <c r="I151" s="8" t="inlineStr">
        <is>
          <t>ISO 3166-2:LT</t>
        </is>
      </c>
      <c r="J151" s="8" t="inlineStr">
        <is>
          <t>.lt</t>
        </is>
      </c>
    </row>
    <row r="152">
      <c r="C152" s="8" t="inlineStr">
        <is>
          <t>LU</t>
        </is>
      </c>
      <c r="D152" s="10" t="inlineStr">
        <is>
          <t>Luxembourg</t>
        </is>
      </c>
      <c r="E152" s="8" t="inlineStr">
        <is>
          <t>The Grand Duchy of Luxembourg</t>
        </is>
      </c>
      <c r="F152" s="9" t="inlineStr">
        <is>
          <t>UN member state</t>
        </is>
      </c>
      <c r="G152" s="8" t="inlineStr">
        <is>
          <t>LUX</t>
        </is>
      </c>
      <c r="H152" s="8" t="n">
        <v>442</v>
      </c>
      <c r="I152" s="8" t="inlineStr">
        <is>
          <t>ISO 3166-2:LU</t>
        </is>
      </c>
      <c r="J152" s="8" t="inlineStr">
        <is>
          <t>.lu</t>
        </is>
      </c>
    </row>
    <row r="153" ht="14.25" customHeight="1">
      <c r="C153" s="8" t="inlineStr">
        <is>
          <t>MO</t>
        </is>
      </c>
      <c r="D153" s="10" t="inlineStr">
        <is>
          <t>Macao [r]</t>
        </is>
      </c>
      <c r="E153" s="8" t="inlineStr">
        <is>
          <t>Macao Special Administrative Region of China[11]</t>
        </is>
      </c>
      <c r="F153" s="8" t="inlineStr">
        <is>
          <t>China</t>
        </is>
      </c>
      <c r="G153" s="8" t="inlineStr">
        <is>
          <t>MAC</t>
        </is>
      </c>
      <c r="H153" s="8" t="n">
        <v>446</v>
      </c>
      <c r="I153" s="8" t="inlineStr">
        <is>
          <t>ISO 3166-2:MO</t>
        </is>
      </c>
      <c r="J153" s="8" t="inlineStr">
        <is>
          <t>.mo</t>
        </is>
      </c>
    </row>
    <row r="154" ht="14.25" customHeight="1">
      <c r="C154" s="8" t="inlineStr">
        <is>
          <t>MK</t>
        </is>
      </c>
      <c r="D154" s="10" t="inlineStr">
        <is>
          <t>North Macedonia</t>
        </is>
      </c>
      <c r="E154" s="8" t="inlineStr">
        <is>
          <t>Republic of North Macedonia[12]</t>
        </is>
      </c>
      <c r="F154" s="9" t="inlineStr">
        <is>
          <t>UN member state</t>
        </is>
      </c>
      <c r="G154" s="8" t="inlineStr">
        <is>
          <t>MKD</t>
        </is>
      </c>
      <c r="H154" s="8" t="n">
        <v>807</v>
      </c>
      <c r="I154" s="8" t="inlineStr">
        <is>
          <t>ISO 3166-2:MK</t>
        </is>
      </c>
      <c r="J154" s="8" t="inlineStr">
        <is>
          <t>.mk</t>
        </is>
      </c>
    </row>
    <row r="155">
      <c r="C155" s="8" t="inlineStr">
        <is>
          <t>MG</t>
        </is>
      </c>
      <c r="D155" s="10" t="inlineStr">
        <is>
          <t>Madagascar</t>
        </is>
      </c>
      <c r="E155" s="8" t="inlineStr">
        <is>
          <t>The Republic of Madagascar</t>
        </is>
      </c>
      <c r="F155" s="9" t="inlineStr">
        <is>
          <t>UN member state</t>
        </is>
      </c>
      <c r="G155" s="8" t="inlineStr">
        <is>
          <t>MDG</t>
        </is>
      </c>
      <c r="H155" s="8" t="n">
        <v>450</v>
      </c>
      <c r="I155" s="8" t="inlineStr">
        <is>
          <t>ISO 3166-2:MG</t>
        </is>
      </c>
      <c r="J155" s="8" t="inlineStr">
        <is>
          <t>.mg</t>
        </is>
      </c>
    </row>
    <row r="156">
      <c r="C156" s="8" t="inlineStr">
        <is>
          <t>MW</t>
        </is>
      </c>
      <c r="D156" s="10" t="inlineStr">
        <is>
          <t>Malawi</t>
        </is>
      </c>
      <c r="E156" s="8" t="inlineStr">
        <is>
          <t>The Republic of Malawi</t>
        </is>
      </c>
      <c r="F156" s="9" t="inlineStr">
        <is>
          <t>UN member state</t>
        </is>
      </c>
      <c r="G156" s="8" t="inlineStr">
        <is>
          <t>MWI</t>
        </is>
      </c>
      <c r="H156" s="8" t="n">
        <v>454</v>
      </c>
      <c r="I156" s="8" t="inlineStr">
        <is>
          <t>ISO 3166-2:MW</t>
        </is>
      </c>
      <c r="J156" s="8" t="inlineStr">
        <is>
          <t>.mw</t>
        </is>
      </c>
    </row>
    <row r="157">
      <c r="C157" s="8" t="inlineStr">
        <is>
          <t>MY</t>
        </is>
      </c>
      <c r="D157" s="10" t="inlineStr">
        <is>
          <t>Malaysia</t>
        </is>
      </c>
      <c r="E157" s="8" t="inlineStr">
        <is>
          <t>Malaysia</t>
        </is>
      </c>
      <c r="F157" s="9" t="inlineStr">
        <is>
          <t>UN member state</t>
        </is>
      </c>
      <c r="G157" s="8" t="inlineStr">
        <is>
          <t>MYS</t>
        </is>
      </c>
      <c r="H157" s="8" t="n">
        <v>458</v>
      </c>
      <c r="I157" s="8" t="inlineStr">
        <is>
          <t>ISO 3166-2:MY</t>
        </is>
      </c>
      <c r="J157" s="8" t="inlineStr">
        <is>
          <t>.my</t>
        </is>
      </c>
    </row>
    <row r="158">
      <c r="C158" s="8" t="inlineStr">
        <is>
          <t>MV</t>
        </is>
      </c>
      <c r="D158" s="10" t="inlineStr">
        <is>
          <t>Maldives</t>
        </is>
      </c>
      <c r="E158" s="8" t="inlineStr">
        <is>
          <t>The Republic of Maldives</t>
        </is>
      </c>
      <c r="F158" s="9" t="inlineStr">
        <is>
          <t>UN member state</t>
        </is>
      </c>
      <c r="G158" s="8" t="inlineStr">
        <is>
          <t>MDV</t>
        </is>
      </c>
      <c r="H158" s="8" t="n">
        <v>462</v>
      </c>
      <c r="I158" s="8" t="inlineStr">
        <is>
          <t>ISO 3166-2:MV</t>
        </is>
      </c>
      <c r="J158" s="8" t="inlineStr">
        <is>
          <t>.mv</t>
        </is>
      </c>
    </row>
    <row r="159">
      <c r="C159" s="8" t="inlineStr">
        <is>
          <t>ML</t>
        </is>
      </c>
      <c r="D159" s="10" t="inlineStr">
        <is>
          <t>Mali</t>
        </is>
      </c>
      <c r="E159" s="8" t="inlineStr">
        <is>
          <t>The Republic of Mali</t>
        </is>
      </c>
      <c r="F159" s="9" t="inlineStr">
        <is>
          <t>UN member state</t>
        </is>
      </c>
      <c r="G159" s="8" t="inlineStr">
        <is>
          <t>MLI</t>
        </is>
      </c>
      <c r="H159" s="8" t="n">
        <v>466</v>
      </c>
      <c r="I159" s="8" t="inlineStr">
        <is>
          <t>ISO 3166-2:ML</t>
        </is>
      </c>
      <c r="J159" s="8" t="inlineStr">
        <is>
          <t>.ml</t>
        </is>
      </c>
    </row>
    <row r="160">
      <c r="C160" s="8" t="inlineStr">
        <is>
          <t>MT</t>
        </is>
      </c>
      <c r="D160" s="10" t="inlineStr">
        <is>
          <t>Malta</t>
        </is>
      </c>
      <c r="E160" s="8" t="inlineStr">
        <is>
          <t>The Republic of Malta</t>
        </is>
      </c>
      <c r="F160" s="9" t="inlineStr">
        <is>
          <t>UN member state</t>
        </is>
      </c>
      <c r="G160" s="8" t="inlineStr">
        <is>
          <t>MLT</t>
        </is>
      </c>
      <c r="H160" s="8" t="n">
        <v>470</v>
      </c>
      <c r="I160" s="8" t="inlineStr">
        <is>
          <t>ISO 3166-2:MT</t>
        </is>
      </c>
      <c r="J160" s="8" t="inlineStr">
        <is>
          <t>.mt</t>
        </is>
      </c>
    </row>
    <row r="161" ht="25.5" customHeight="1">
      <c r="C161" s="8" t="inlineStr">
        <is>
          <t>MH</t>
        </is>
      </c>
      <c r="D161" s="10" t="inlineStr">
        <is>
          <t>Marshall Islands</t>
        </is>
      </c>
      <c r="E161" s="8" t="inlineStr">
        <is>
          <t>The Republic of the Marshall Islands</t>
        </is>
      </c>
      <c r="F161" s="9" t="inlineStr">
        <is>
          <t>UN member state</t>
        </is>
      </c>
      <c r="G161" s="8" t="inlineStr">
        <is>
          <t>MHL</t>
        </is>
      </c>
      <c r="H161" s="8" t="n">
        <v>584</v>
      </c>
      <c r="I161" s="8" t="inlineStr">
        <is>
          <t>ISO 3166-2:MH</t>
        </is>
      </c>
      <c r="J161" s="8" t="inlineStr">
        <is>
          <t>.mh</t>
        </is>
      </c>
    </row>
    <row r="162">
      <c r="C162" s="8" t="inlineStr">
        <is>
          <t>MQ</t>
        </is>
      </c>
      <c r="D162" s="10" t="inlineStr">
        <is>
          <t>Martinique</t>
        </is>
      </c>
      <c r="E162" s="8" t="inlineStr">
        <is>
          <t>Martinique</t>
        </is>
      </c>
      <c r="F162" s="8" t="inlineStr">
        <is>
          <t>France</t>
        </is>
      </c>
      <c r="G162" s="8" t="inlineStr">
        <is>
          <t>MTQ</t>
        </is>
      </c>
      <c r="H162" s="8" t="n">
        <v>474</v>
      </c>
      <c r="I162" s="8" t="inlineStr">
        <is>
          <t>ISO 3166-2:MQ</t>
        </is>
      </c>
      <c r="J162" s="8" t="inlineStr">
        <is>
          <t>.mq</t>
        </is>
      </c>
    </row>
    <row r="163">
      <c r="C163" s="8" t="inlineStr">
        <is>
          <t>MR</t>
        </is>
      </c>
      <c r="D163" s="10" t="inlineStr">
        <is>
          <t>Mauritania</t>
        </is>
      </c>
      <c r="E163" s="8" t="inlineStr">
        <is>
          <t>The Islamic Republic of Mauritania</t>
        </is>
      </c>
      <c r="F163" s="9" t="inlineStr">
        <is>
          <t>UN member state</t>
        </is>
      </c>
      <c r="G163" s="8" t="inlineStr">
        <is>
          <t>MRT</t>
        </is>
      </c>
      <c r="H163" s="8" t="n">
        <v>478</v>
      </c>
      <c r="I163" s="8" t="inlineStr">
        <is>
          <t>ISO 3166-2:MR</t>
        </is>
      </c>
      <c r="J163" s="8" t="inlineStr">
        <is>
          <t>.mr</t>
        </is>
      </c>
    </row>
    <row r="164">
      <c r="C164" s="8" t="inlineStr">
        <is>
          <t>MU</t>
        </is>
      </c>
      <c r="D164" s="10" t="inlineStr">
        <is>
          <t>Mauritius</t>
        </is>
      </c>
      <c r="E164" s="8" t="inlineStr">
        <is>
          <t>The Republic of Mauritius</t>
        </is>
      </c>
      <c r="F164" s="9" t="inlineStr">
        <is>
          <t>UN member state</t>
        </is>
      </c>
      <c r="G164" s="8" t="inlineStr">
        <is>
          <t>MUS</t>
        </is>
      </c>
      <c r="H164" s="8" t="n">
        <v>480</v>
      </c>
      <c r="I164" s="8" t="inlineStr">
        <is>
          <t>ISO 3166-2:MU</t>
        </is>
      </c>
      <c r="J164" s="8" t="inlineStr">
        <is>
          <t>.mu</t>
        </is>
      </c>
    </row>
    <row r="165">
      <c r="C165" s="8" t="inlineStr">
        <is>
          <t>YT</t>
        </is>
      </c>
      <c r="D165" s="10" t="inlineStr">
        <is>
          <t>Mayotte</t>
        </is>
      </c>
      <c r="E165" s="8" t="inlineStr">
        <is>
          <t>The Department of Mayotte</t>
        </is>
      </c>
      <c r="F165" s="8" t="inlineStr">
        <is>
          <t>France</t>
        </is>
      </c>
      <c r="G165" s="8" t="inlineStr">
        <is>
          <t>MYT</t>
        </is>
      </c>
      <c r="H165" s="8" t="n">
        <v>175</v>
      </c>
      <c r="I165" s="8" t="inlineStr">
        <is>
          <t>ISO 3166-2:YT</t>
        </is>
      </c>
      <c r="J165" s="8" t="inlineStr">
        <is>
          <t>.yt</t>
        </is>
      </c>
    </row>
    <row r="166">
      <c r="C166" s="8" t="inlineStr">
        <is>
          <t>MX</t>
        </is>
      </c>
      <c r="D166" s="10" t="inlineStr">
        <is>
          <t>Mexico</t>
        </is>
      </c>
      <c r="E166" s="8" t="inlineStr">
        <is>
          <t>The United Mexican States</t>
        </is>
      </c>
      <c r="F166" s="9" t="inlineStr">
        <is>
          <t>UN member state</t>
        </is>
      </c>
      <c r="G166" s="8" t="inlineStr">
        <is>
          <t>MEX</t>
        </is>
      </c>
      <c r="H166" s="8" t="n">
        <v>484</v>
      </c>
      <c r="I166" s="8" t="inlineStr">
        <is>
          <t>ISO 3166-2:MX</t>
        </is>
      </c>
      <c r="J166" s="8" t="inlineStr">
        <is>
          <t>.mx</t>
        </is>
      </c>
    </row>
    <row r="167" ht="25.5" customHeight="1">
      <c r="C167" s="8" t="inlineStr">
        <is>
          <t>FM</t>
        </is>
      </c>
      <c r="D167" s="10" t="inlineStr">
        <is>
          <t>Micronesia (Federated States of)</t>
        </is>
      </c>
      <c r="E167" s="8" t="inlineStr">
        <is>
          <t>The Federated States of Micronesia</t>
        </is>
      </c>
      <c r="F167" s="9" t="inlineStr">
        <is>
          <t>UN member state</t>
        </is>
      </c>
      <c r="G167" s="8" t="inlineStr">
        <is>
          <t>FSM</t>
        </is>
      </c>
      <c r="H167" s="8" t="n">
        <v>583</v>
      </c>
      <c r="I167" s="8" t="inlineStr">
        <is>
          <t>ISO 3166-2:FM</t>
        </is>
      </c>
      <c r="J167" s="8" t="inlineStr">
        <is>
          <t>.fm</t>
        </is>
      </c>
    </row>
    <row r="168" ht="25.5" customHeight="1">
      <c r="C168" s="8" t="inlineStr">
        <is>
          <t>MD</t>
        </is>
      </c>
      <c r="D168" s="10" t="inlineStr">
        <is>
          <t>Moldova (the Republic of)</t>
        </is>
      </c>
      <c r="E168" s="8" t="inlineStr">
        <is>
          <t>The Republic of Moldova</t>
        </is>
      </c>
      <c r="F168" s="9" t="inlineStr">
        <is>
          <t>UN member state</t>
        </is>
      </c>
      <c r="G168" s="8" t="inlineStr">
        <is>
          <t>MDA</t>
        </is>
      </c>
      <c r="H168" s="8" t="n">
        <v>498</v>
      </c>
      <c r="I168" s="8" t="inlineStr">
        <is>
          <t>ISO 3166-2:MD</t>
        </is>
      </c>
      <c r="J168" s="8" t="inlineStr">
        <is>
          <t>.md</t>
        </is>
      </c>
    </row>
    <row r="169">
      <c r="C169" s="8" t="inlineStr">
        <is>
          <t>MC</t>
        </is>
      </c>
      <c r="D169" s="10" t="inlineStr">
        <is>
          <t>Monaco</t>
        </is>
      </c>
      <c r="E169" s="8" t="inlineStr">
        <is>
          <t>The Principality of Monaco</t>
        </is>
      </c>
      <c r="F169" s="9" t="inlineStr">
        <is>
          <t>UN member state</t>
        </is>
      </c>
      <c r="G169" s="8" t="inlineStr">
        <is>
          <t>MCO</t>
        </is>
      </c>
      <c r="H169" s="8" t="n">
        <v>492</v>
      </c>
      <c r="I169" s="8" t="inlineStr">
        <is>
          <t>ISO 3166-2:MC</t>
        </is>
      </c>
      <c r="J169" s="8" t="inlineStr">
        <is>
          <t>.mc</t>
        </is>
      </c>
    </row>
    <row r="170">
      <c r="C170" s="8" t="inlineStr">
        <is>
          <t>MN</t>
        </is>
      </c>
      <c r="D170" s="10" t="inlineStr">
        <is>
          <t>Mongolia</t>
        </is>
      </c>
      <c r="E170" s="8" t="inlineStr">
        <is>
          <t>The State of Mongolia</t>
        </is>
      </c>
      <c r="F170" s="9" t="inlineStr">
        <is>
          <t>UN member state</t>
        </is>
      </c>
      <c r="G170" s="8" t="inlineStr">
        <is>
          <t>MNG</t>
        </is>
      </c>
      <c r="H170" s="8" t="n">
        <v>496</v>
      </c>
      <c r="I170" s="8" t="inlineStr">
        <is>
          <t>ISO 3166-2:MN</t>
        </is>
      </c>
      <c r="J170" s="8" t="inlineStr">
        <is>
          <t>.mn</t>
        </is>
      </c>
    </row>
    <row r="171">
      <c r="C171" s="8" t="inlineStr">
        <is>
          <t>ME</t>
        </is>
      </c>
      <c r="D171" s="10" t="inlineStr">
        <is>
          <t>Montenegro</t>
        </is>
      </c>
      <c r="E171" s="8" t="inlineStr">
        <is>
          <t>Montenegro</t>
        </is>
      </c>
      <c r="F171" s="9" t="inlineStr">
        <is>
          <t>UN member state</t>
        </is>
      </c>
      <c r="G171" s="8" t="inlineStr">
        <is>
          <t>MNE</t>
        </is>
      </c>
      <c r="H171" s="8" t="n">
        <v>499</v>
      </c>
      <c r="I171" s="8" t="inlineStr">
        <is>
          <t>ISO 3166-2:ME</t>
        </is>
      </c>
      <c r="J171" s="8" t="inlineStr">
        <is>
          <t>.me</t>
        </is>
      </c>
    </row>
    <row r="172">
      <c r="C172" s="8" t="inlineStr">
        <is>
          <t>MS</t>
        </is>
      </c>
      <c r="D172" s="10" t="inlineStr">
        <is>
          <t>Montserrat</t>
        </is>
      </c>
      <c r="E172" s="8" t="inlineStr">
        <is>
          <t>Montserrat</t>
        </is>
      </c>
      <c r="F172" s="8" t="inlineStr">
        <is>
          <t>United Kingdom</t>
        </is>
      </c>
      <c r="G172" s="8" t="inlineStr">
        <is>
          <t>MSR</t>
        </is>
      </c>
      <c r="H172" s="8" t="n">
        <v>500</v>
      </c>
      <c r="I172" s="8" t="inlineStr">
        <is>
          <t>ISO 3166-2:MS</t>
        </is>
      </c>
      <c r="J172" s="8" t="inlineStr">
        <is>
          <t>.ms</t>
        </is>
      </c>
    </row>
    <row r="173">
      <c r="C173" s="8" t="inlineStr">
        <is>
          <t>MA</t>
        </is>
      </c>
      <c r="D173" s="10" t="inlineStr">
        <is>
          <t>Morocco</t>
        </is>
      </c>
      <c r="E173" s="8" t="inlineStr">
        <is>
          <t>The Kingdom of Morocco</t>
        </is>
      </c>
      <c r="F173" s="9" t="inlineStr">
        <is>
          <t>UN member state</t>
        </is>
      </c>
      <c r="G173" s="8" t="inlineStr">
        <is>
          <t>MAR</t>
        </is>
      </c>
      <c r="H173" s="8" t="n">
        <v>504</v>
      </c>
      <c r="I173" s="8" t="inlineStr">
        <is>
          <t>ISO 3166-2:MA</t>
        </is>
      </c>
      <c r="J173" s="8" t="inlineStr">
        <is>
          <t>.ma</t>
        </is>
      </c>
    </row>
    <row r="174">
      <c r="C174" s="8" t="inlineStr">
        <is>
          <t>MZ</t>
        </is>
      </c>
      <c r="D174" s="10" t="inlineStr">
        <is>
          <t>Mozambique</t>
        </is>
      </c>
      <c r="E174" s="8" t="inlineStr">
        <is>
          <t>The Republic of Mozambique</t>
        </is>
      </c>
      <c r="F174" s="9" t="inlineStr">
        <is>
          <t>UN member state</t>
        </is>
      </c>
      <c r="G174" s="8" t="inlineStr">
        <is>
          <t>MOZ</t>
        </is>
      </c>
      <c r="H174" s="8" t="n">
        <v>508</v>
      </c>
      <c r="I174" s="8" t="inlineStr">
        <is>
          <t>ISO 3166-2:MZ</t>
        </is>
      </c>
      <c r="J174" s="8" t="inlineStr">
        <is>
          <t>.mz</t>
        </is>
      </c>
    </row>
    <row r="175" ht="14.25" customHeight="1">
      <c r="C175" s="8" t="inlineStr">
        <is>
          <t>MM</t>
        </is>
      </c>
      <c r="D175" s="10" t="inlineStr">
        <is>
          <t>Myanmar [t]</t>
        </is>
      </c>
      <c r="E175" s="8" t="inlineStr">
        <is>
          <t>The Republic of the Union of Myanmar</t>
        </is>
      </c>
      <c r="F175" s="9" t="inlineStr">
        <is>
          <t>UN member state</t>
        </is>
      </c>
      <c r="G175" s="8" t="inlineStr">
        <is>
          <t>MMR</t>
        </is>
      </c>
      <c r="H175" s="8" t="n">
        <v>104</v>
      </c>
      <c r="I175" s="8" t="inlineStr">
        <is>
          <t>ISO 3166-2:MM</t>
        </is>
      </c>
      <c r="J175" s="8" t="inlineStr">
        <is>
          <t>.mm</t>
        </is>
      </c>
    </row>
    <row r="176">
      <c r="C176" s="8" t="inlineStr">
        <is>
          <t>NA</t>
        </is>
      </c>
      <c r="D176" s="10" t="inlineStr">
        <is>
          <t>Namibia</t>
        </is>
      </c>
      <c r="E176" s="8" t="inlineStr">
        <is>
          <t>The Republic of Namibia</t>
        </is>
      </c>
      <c r="F176" s="9" t="inlineStr">
        <is>
          <t>UN member state</t>
        </is>
      </c>
      <c r="G176" s="8" t="inlineStr">
        <is>
          <t>NAM</t>
        </is>
      </c>
      <c r="H176" s="8" t="n">
        <v>516</v>
      </c>
      <c r="I176" s="8" t="inlineStr">
        <is>
          <t>ISO 3166-2:NA</t>
        </is>
      </c>
      <c r="J176" s="8" t="inlineStr">
        <is>
          <t>.na</t>
        </is>
      </c>
    </row>
    <row r="177">
      <c r="C177" s="8" t="inlineStr">
        <is>
          <t>NR</t>
        </is>
      </c>
      <c r="D177" s="10" t="inlineStr">
        <is>
          <t>Nauru</t>
        </is>
      </c>
      <c r="E177" s="8" t="inlineStr">
        <is>
          <t>The Republic of Nauru</t>
        </is>
      </c>
      <c r="F177" s="9" t="inlineStr">
        <is>
          <t>UN member state</t>
        </is>
      </c>
      <c r="G177" s="8" t="inlineStr">
        <is>
          <t>NRU</t>
        </is>
      </c>
      <c r="H177" s="8" t="n">
        <v>520</v>
      </c>
      <c r="I177" s="8" t="inlineStr">
        <is>
          <t>ISO 3166-2:NR</t>
        </is>
      </c>
      <c r="J177" s="8" t="inlineStr">
        <is>
          <t>.nr</t>
        </is>
      </c>
    </row>
    <row r="178">
      <c r="C178" s="8" t="inlineStr">
        <is>
          <t>NP</t>
        </is>
      </c>
      <c r="D178" s="10" t="inlineStr">
        <is>
          <t>Nepal</t>
        </is>
      </c>
      <c r="E178" s="8" t="inlineStr">
        <is>
          <t>The Federal Democratic Republic of Nepal</t>
        </is>
      </c>
      <c r="F178" s="9" t="inlineStr">
        <is>
          <t>UN member state</t>
        </is>
      </c>
      <c r="G178" s="8" t="inlineStr">
        <is>
          <t>NPL</t>
        </is>
      </c>
      <c r="H178" s="8" t="n">
        <v>524</v>
      </c>
      <c r="I178" s="8" t="inlineStr">
        <is>
          <t>ISO 3166-2:NP</t>
        </is>
      </c>
      <c r="J178" s="8" t="inlineStr">
        <is>
          <t>.np</t>
        </is>
      </c>
    </row>
    <row r="179">
      <c r="C179" s="8" t="inlineStr">
        <is>
          <t>NL</t>
        </is>
      </c>
      <c r="D179" s="10" t="inlineStr">
        <is>
          <t>Netherlands (the)</t>
        </is>
      </c>
      <c r="E179" s="8" t="inlineStr">
        <is>
          <t>The Kingdom of the Netherlands</t>
        </is>
      </c>
      <c r="F179" s="9" t="inlineStr">
        <is>
          <t>UN member state</t>
        </is>
      </c>
      <c r="G179" s="8" t="inlineStr">
        <is>
          <t>NLD</t>
        </is>
      </c>
      <c r="H179" s="8" t="n">
        <v>528</v>
      </c>
      <c r="I179" s="8" t="inlineStr">
        <is>
          <t>ISO 3166-2:NL</t>
        </is>
      </c>
      <c r="J179" s="8" t="inlineStr">
        <is>
          <t>.nl</t>
        </is>
      </c>
    </row>
    <row r="180">
      <c r="C180" s="8" t="inlineStr">
        <is>
          <t>NC</t>
        </is>
      </c>
      <c r="D180" s="10" t="inlineStr">
        <is>
          <t>New Caledonia</t>
        </is>
      </c>
      <c r="E180" s="8" t="inlineStr">
        <is>
          <t>New Caledonia</t>
        </is>
      </c>
      <c r="F180" s="8" t="inlineStr">
        <is>
          <t>France</t>
        </is>
      </c>
      <c r="G180" s="8" t="inlineStr">
        <is>
          <t>NCL</t>
        </is>
      </c>
      <c r="H180" s="8" t="n">
        <v>540</v>
      </c>
      <c r="I180" s="8" t="inlineStr">
        <is>
          <t>ISO 3166-2:NC</t>
        </is>
      </c>
      <c r="J180" s="8" t="inlineStr">
        <is>
          <t>.nc</t>
        </is>
      </c>
    </row>
    <row r="181">
      <c r="C181" s="8" t="inlineStr">
        <is>
          <t>NZ</t>
        </is>
      </c>
      <c r="D181" s="10" t="inlineStr">
        <is>
          <t>New Zealand</t>
        </is>
      </c>
      <c r="E181" s="8" t="inlineStr">
        <is>
          <t>New Zealand</t>
        </is>
      </c>
      <c r="F181" s="9" t="inlineStr">
        <is>
          <t>UN member state</t>
        </is>
      </c>
      <c r="G181" s="8" t="inlineStr">
        <is>
          <t>NZL</t>
        </is>
      </c>
      <c r="H181" s="8" t="n">
        <v>554</v>
      </c>
      <c r="I181" s="8" t="inlineStr">
        <is>
          <t>ISO 3166-2:NZ</t>
        </is>
      </c>
      <c r="J181" s="8" t="inlineStr">
        <is>
          <t>.nz</t>
        </is>
      </c>
    </row>
    <row r="182">
      <c r="C182" s="8" t="inlineStr">
        <is>
          <t>NI</t>
        </is>
      </c>
      <c r="D182" s="10" t="inlineStr">
        <is>
          <t>Nicaragua</t>
        </is>
      </c>
      <c r="E182" s="8" t="inlineStr">
        <is>
          <t>The Republic of Nicaragua</t>
        </is>
      </c>
      <c r="F182" s="9" t="inlineStr">
        <is>
          <t>UN member state</t>
        </is>
      </c>
      <c r="G182" s="8" t="inlineStr">
        <is>
          <t>NIC</t>
        </is>
      </c>
      <c r="H182" s="8" t="n">
        <v>558</v>
      </c>
      <c r="I182" s="8" t="inlineStr">
        <is>
          <t>ISO 3166-2:NI</t>
        </is>
      </c>
      <c r="J182" s="8" t="inlineStr">
        <is>
          <t>.ni</t>
        </is>
      </c>
    </row>
    <row r="183">
      <c r="C183" s="8" t="inlineStr">
        <is>
          <t>NE</t>
        </is>
      </c>
      <c r="D183" s="10" t="inlineStr">
        <is>
          <t>Niger</t>
        </is>
      </c>
      <c r="E183" s="8" t="inlineStr">
        <is>
          <t>The Republic of the Niger</t>
        </is>
      </c>
      <c r="F183" s="9" t="inlineStr">
        <is>
          <t>UN member state</t>
        </is>
      </c>
      <c r="G183" s="8" t="inlineStr">
        <is>
          <t>NER</t>
        </is>
      </c>
      <c r="H183" s="8" t="n">
        <v>562</v>
      </c>
      <c r="I183" s="8" t="inlineStr">
        <is>
          <t>ISO 3166-2:NE</t>
        </is>
      </c>
      <c r="J183" s="8" t="inlineStr">
        <is>
          <t>.ne</t>
        </is>
      </c>
    </row>
    <row r="184">
      <c r="C184" s="8" t="inlineStr">
        <is>
          <t>NG</t>
        </is>
      </c>
      <c r="D184" s="10" t="inlineStr">
        <is>
          <t>Nigeria</t>
        </is>
      </c>
      <c r="E184" s="8" t="inlineStr">
        <is>
          <t>The Federal Republic of Nigeria</t>
        </is>
      </c>
      <c r="F184" s="9" t="inlineStr">
        <is>
          <t>UN member state</t>
        </is>
      </c>
      <c r="G184" s="8" t="inlineStr">
        <is>
          <t>NGA</t>
        </is>
      </c>
      <c r="H184" s="8" t="n">
        <v>566</v>
      </c>
      <c r="I184" s="8" t="inlineStr">
        <is>
          <t>ISO 3166-2:NG</t>
        </is>
      </c>
      <c r="J184" s="8" t="inlineStr">
        <is>
          <t>.ng</t>
        </is>
      </c>
    </row>
    <row r="185">
      <c r="C185" s="8" t="inlineStr">
        <is>
          <t>NU</t>
        </is>
      </c>
      <c r="D185" s="10" t="inlineStr">
        <is>
          <t>Niue</t>
        </is>
      </c>
      <c r="E185" s="8" t="inlineStr">
        <is>
          <t>Niue</t>
        </is>
      </c>
      <c r="F185" s="8" t="inlineStr">
        <is>
          <t>New Zealand</t>
        </is>
      </c>
      <c r="G185" s="8" t="inlineStr">
        <is>
          <t>NIU</t>
        </is>
      </c>
      <c r="H185" s="8" t="n">
        <v>570</v>
      </c>
      <c r="I185" s="8" t="inlineStr">
        <is>
          <t>ISO 3166-2:NU</t>
        </is>
      </c>
      <c r="J185" s="8" t="inlineStr">
        <is>
          <t>.nu</t>
        </is>
      </c>
    </row>
    <row r="186">
      <c r="C186" s="8" t="inlineStr">
        <is>
          <t>NF</t>
        </is>
      </c>
      <c r="D186" s="10" t="inlineStr">
        <is>
          <t>Norfolk Island</t>
        </is>
      </c>
      <c r="E186" s="8" t="inlineStr">
        <is>
          <t>The Territory of Norfolk Island</t>
        </is>
      </c>
      <c r="F186" s="8" t="inlineStr">
        <is>
          <t>Australia</t>
        </is>
      </c>
      <c r="G186" s="8" t="inlineStr">
        <is>
          <t>NFK</t>
        </is>
      </c>
      <c r="H186" s="8" t="n">
        <v>574</v>
      </c>
      <c r="I186" s="8" t="inlineStr">
        <is>
          <t>ISO 3166-2:NF</t>
        </is>
      </c>
      <c r="J186" s="8" t="inlineStr">
        <is>
          <t>.nf</t>
        </is>
      </c>
    </row>
    <row r="187" ht="12.75" customHeight="1">
      <c r="D187" s="10" t="inlineStr">
        <is>
          <t>North Korea</t>
        </is>
      </c>
    </row>
    <row r="188" ht="12.75" customHeight="1">
      <c r="D188" s="10" t="inlineStr">
        <is>
          <t>Northern Ireland</t>
        </is>
      </c>
    </row>
    <row r="189" ht="25.5" customHeight="1">
      <c r="C189" s="8" t="inlineStr">
        <is>
          <t>MP</t>
        </is>
      </c>
      <c r="D189" s="10" t="inlineStr">
        <is>
          <t>Northern Mariana Islands</t>
        </is>
      </c>
      <c r="E189" s="8" t="inlineStr">
        <is>
          <t>The Commonwealth of the Northern Mariana Islands</t>
        </is>
      </c>
      <c r="F189" s="8" t="inlineStr">
        <is>
          <t>United States</t>
        </is>
      </c>
      <c r="G189" s="8" t="inlineStr">
        <is>
          <t>MNP</t>
        </is>
      </c>
      <c r="H189" s="8" t="n">
        <v>580</v>
      </c>
      <c r="I189" s="8" t="inlineStr">
        <is>
          <t>ISO 3166-2:MP</t>
        </is>
      </c>
      <c r="J189" s="8" t="inlineStr">
        <is>
          <t>.mp</t>
        </is>
      </c>
    </row>
    <row r="190">
      <c r="C190" s="8" t="inlineStr">
        <is>
          <t>NO</t>
        </is>
      </c>
      <c r="D190" s="10" t="inlineStr">
        <is>
          <t>Norway</t>
        </is>
      </c>
      <c r="E190" s="8" t="inlineStr">
        <is>
          <t>The Kingdom of Norway</t>
        </is>
      </c>
      <c r="F190" s="9" t="inlineStr">
        <is>
          <t>UN member state</t>
        </is>
      </c>
      <c r="G190" s="8" t="inlineStr">
        <is>
          <t>NOR</t>
        </is>
      </c>
      <c r="H190" s="8" t="n">
        <v>578</v>
      </c>
      <c r="I190" s="8" t="inlineStr">
        <is>
          <t>ISO 3166-2:NO</t>
        </is>
      </c>
      <c r="J190" s="8" t="inlineStr">
        <is>
          <t>.no</t>
        </is>
      </c>
    </row>
    <row r="191">
      <c r="C191" s="8" t="inlineStr">
        <is>
          <t>OM</t>
        </is>
      </c>
      <c r="D191" s="10" t="inlineStr">
        <is>
          <t>Oman</t>
        </is>
      </c>
      <c r="E191" s="8" t="inlineStr">
        <is>
          <t>The Sultanate of Oman</t>
        </is>
      </c>
      <c r="F191" s="9" t="inlineStr">
        <is>
          <t>UN member state</t>
        </is>
      </c>
      <c r="G191" s="8" t="inlineStr">
        <is>
          <t>OMN</t>
        </is>
      </c>
      <c r="H191" s="8" t="n">
        <v>512</v>
      </c>
      <c r="I191" s="8" t="inlineStr">
        <is>
          <t>ISO 3166-2:OM</t>
        </is>
      </c>
      <c r="J191" s="8" t="inlineStr">
        <is>
          <t>.om</t>
        </is>
      </c>
    </row>
    <row r="192">
      <c r="C192" s="8" t="inlineStr">
        <is>
          <t>PK</t>
        </is>
      </c>
      <c r="D192" s="10" t="inlineStr">
        <is>
          <t>Pakistan</t>
        </is>
      </c>
      <c r="E192" s="8" t="inlineStr">
        <is>
          <t>The Islamic Republic of Pakistan</t>
        </is>
      </c>
      <c r="F192" s="9" t="inlineStr">
        <is>
          <t>UN member state</t>
        </is>
      </c>
      <c r="G192" s="8" t="inlineStr">
        <is>
          <t>PAK</t>
        </is>
      </c>
      <c r="H192" s="8" t="n">
        <v>586</v>
      </c>
      <c r="I192" s="8" t="inlineStr">
        <is>
          <t>ISO 3166-2:PK</t>
        </is>
      </c>
      <c r="J192" s="8" t="inlineStr">
        <is>
          <t>.pk</t>
        </is>
      </c>
    </row>
    <row r="193">
      <c r="C193" s="8" t="inlineStr">
        <is>
          <t>PW</t>
        </is>
      </c>
      <c r="D193" s="10" t="inlineStr">
        <is>
          <t>Palau</t>
        </is>
      </c>
      <c r="E193" s="8" t="inlineStr">
        <is>
          <t>The Republic of Palau</t>
        </is>
      </c>
      <c r="F193" s="9" t="inlineStr">
        <is>
          <t>UN member state</t>
        </is>
      </c>
      <c r="G193" s="8" t="inlineStr">
        <is>
          <t>PLW</t>
        </is>
      </c>
      <c r="H193" s="8" t="n">
        <v>585</v>
      </c>
      <c r="I193" s="8" t="inlineStr">
        <is>
          <t>ISO 3166-2:PW</t>
        </is>
      </c>
      <c r="J193" s="8" t="inlineStr">
        <is>
          <t>.pw</t>
        </is>
      </c>
    </row>
    <row r="194">
      <c r="C194" s="8" t="inlineStr">
        <is>
          <t>PS</t>
        </is>
      </c>
      <c r="D194" s="10" t="inlineStr">
        <is>
          <t>Palestine, State of</t>
        </is>
      </c>
      <c r="E194" s="8" t="inlineStr">
        <is>
          <t>The State of Palestine</t>
        </is>
      </c>
      <c r="F194" s="9" t="inlineStr">
        <is>
          <t>UN observer</t>
        </is>
      </c>
      <c r="G194" s="8" t="inlineStr">
        <is>
          <t>PSE</t>
        </is>
      </c>
      <c r="H194" s="8" t="n">
        <v>275</v>
      </c>
      <c r="I194" s="8" t="inlineStr">
        <is>
          <t>ISO 3166-2:PS</t>
        </is>
      </c>
      <c r="J194" s="8" t="inlineStr">
        <is>
          <t>.ps</t>
        </is>
      </c>
    </row>
    <row r="195">
      <c r="C195" s="8" t="inlineStr">
        <is>
          <t>PA</t>
        </is>
      </c>
      <c r="D195" s="10" t="inlineStr">
        <is>
          <t>Panama</t>
        </is>
      </c>
      <c r="E195" s="8" t="inlineStr">
        <is>
          <t>The Republic of Panamá</t>
        </is>
      </c>
      <c r="F195" s="9" t="inlineStr">
        <is>
          <t>UN member state</t>
        </is>
      </c>
      <c r="G195" s="8" t="inlineStr">
        <is>
          <t>PAN</t>
        </is>
      </c>
      <c r="H195" s="8" t="n">
        <v>591</v>
      </c>
      <c r="I195" s="8" t="inlineStr">
        <is>
          <t>ISO 3166-2:PA</t>
        </is>
      </c>
      <c r="J195" s="8" t="inlineStr">
        <is>
          <t>.pa</t>
        </is>
      </c>
    </row>
    <row r="196">
      <c r="C196" s="8" t="inlineStr">
        <is>
          <t>PG</t>
        </is>
      </c>
      <c r="D196" s="10" t="inlineStr">
        <is>
          <t>Papua New Guinea</t>
        </is>
      </c>
      <c r="E196" s="8" t="inlineStr">
        <is>
          <t>The Independent State of Papua New Guinea</t>
        </is>
      </c>
      <c r="F196" s="9" t="inlineStr">
        <is>
          <t>UN member state</t>
        </is>
      </c>
      <c r="G196" s="8" t="inlineStr">
        <is>
          <t>PNG</t>
        </is>
      </c>
      <c r="H196" s="8" t="n">
        <v>598</v>
      </c>
      <c r="I196" s="8" t="inlineStr">
        <is>
          <t>ISO 3166-2:PG</t>
        </is>
      </c>
      <c r="J196" s="8" t="inlineStr">
        <is>
          <t>.pg</t>
        </is>
      </c>
    </row>
    <row r="197">
      <c r="C197" s="8" t="inlineStr">
        <is>
          <t>PY</t>
        </is>
      </c>
      <c r="D197" s="10" t="inlineStr">
        <is>
          <t>Paraguay</t>
        </is>
      </c>
      <c r="E197" s="8" t="inlineStr">
        <is>
          <t>The Republic of Paraguay</t>
        </is>
      </c>
      <c r="F197" s="9" t="inlineStr">
        <is>
          <t>UN member state</t>
        </is>
      </c>
      <c r="G197" s="8" t="inlineStr">
        <is>
          <t>PRY</t>
        </is>
      </c>
      <c r="H197" s="8" t="n">
        <v>600</v>
      </c>
      <c r="I197" s="8" t="inlineStr">
        <is>
          <t>ISO 3166-2:PY</t>
        </is>
      </c>
      <c r="J197" s="8" t="inlineStr">
        <is>
          <t>.py</t>
        </is>
      </c>
    </row>
    <row r="198" ht="12.75" customHeight="1">
      <c r="D198" s="10" t="inlineStr">
        <is>
          <t>People's Republic of China – See China.</t>
        </is>
      </c>
    </row>
    <row r="199">
      <c r="C199" s="8" t="inlineStr">
        <is>
          <t>PE</t>
        </is>
      </c>
      <c r="D199" s="10" t="inlineStr">
        <is>
          <t>Peru</t>
        </is>
      </c>
      <c r="E199" s="8" t="inlineStr">
        <is>
          <t>The Republic of Perú</t>
        </is>
      </c>
      <c r="F199" s="9" t="inlineStr">
        <is>
          <t>UN member state</t>
        </is>
      </c>
      <c r="G199" s="8" t="inlineStr">
        <is>
          <t>PER</t>
        </is>
      </c>
      <c r="H199" s="8" t="n">
        <v>604</v>
      </c>
      <c r="I199" s="8" t="inlineStr">
        <is>
          <t>ISO 3166-2:PE</t>
        </is>
      </c>
      <c r="J199" s="8" t="inlineStr">
        <is>
          <t>.pe</t>
        </is>
      </c>
    </row>
    <row r="200">
      <c r="C200" s="8" t="inlineStr">
        <is>
          <t>PH</t>
        </is>
      </c>
      <c r="D200" s="10" t="inlineStr">
        <is>
          <t>Philippines (the)</t>
        </is>
      </c>
      <c r="E200" s="8" t="inlineStr">
        <is>
          <t>The Republic of the Philippines</t>
        </is>
      </c>
      <c r="F200" s="9" t="inlineStr">
        <is>
          <t>UN member state</t>
        </is>
      </c>
      <c r="G200" s="8" t="inlineStr">
        <is>
          <t>PHL</t>
        </is>
      </c>
      <c r="H200" s="8" t="n">
        <v>608</v>
      </c>
      <c r="I200" s="8" t="inlineStr">
        <is>
          <t>ISO 3166-2:PH</t>
        </is>
      </c>
      <c r="J200" s="8" t="inlineStr">
        <is>
          <t>.ph</t>
        </is>
      </c>
    </row>
    <row r="201" ht="14.25" customHeight="1">
      <c r="C201" s="8" t="inlineStr">
        <is>
          <t>PN</t>
        </is>
      </c>
      <c r="D201" s="10" t="inlineStr">
        <is>
          <t>Pitcairn [u]</t>
        </is>
      </c>
      <c r="E201" s="8" t="inlineStr">
        <is>
          <t>The Pitcairn, Henderson, Ducie and Oeno Islands</t>
        </is>
      </c>
      <c r="F201" s="8" t="inlineStr">
        <is>
          <t>United Kingdom</t>
        </is>
      </c>
      <c r="G201" s="8" t="inlineStr">
        <is>
          <t>PCN</t>
        </is>
      </c>
      <c r="H201" s="8" t="n">
        <v>612</v>
      </c>
      <c r="I201" s="8" t="inlineStr">
        <is>
          <t>ISO 3166-2:PN</t>
        </is>
      </c>
      <c r="J201" s="8" t="inlineStr">
        <is>
          <t>.pn</t>
        </is>
      </c>
    </row>
    <row r="202">
      <c r="C202" s="8" t="inlineStr">
        <is>
          <t>PL</t>
        </is>
      </c>
      <c r="D202" s="10" t="inlineStr">
        <is>
          <t>Poland</t>
        </is>
      </c>
      <c r="E202" s="8" t="inlineStr">
        <is>
          <t>The Republic of Poland</t>
        </is>
      </c>
      <c r="F202" s="9" t="inlineStr">
        <is>
          <t>UN member state</t>
        </is>
      </c>
      <c r="G202" s="8" t="inlineStr">
        <is>
          <t>POL</t>
        </is>
      </c>
      <c r="H202" s="8" t="n">
        <v>616</v>
      </c>
      <c r="I202" s="8" t="inlineStr">
        <is>
          <t>ISO 3166-2:PL</t>
        </is>
      </c>
      <c r="J202" s="8" t="inlineStr">
        <is>
          <t>.pl</t>
        </is>
      </c>
    </row>
    <row r="203">
      <c r="C203" s="8" t="inlineStr">
        <is>
          <t>PT</t>
        </is>
      </c>
      <c r="D203" s="10" t="inlineStr">
        <is>
          <t>Portugal</t>
        </is>
      </c>
      <c r="E203" s="8" t="inlineStr">
        <is>
          <t>The Portuguese Republic</t>
        </is>
      </c>
      <c r="F203" s="9" t="inlineStr">
        <is>
          <t>UN member state</t>
        </is>
      </c>
      <c r="G203" s="8" t="inlineStr">
        <is>
          <t>PRT</t>
        </is>
      </c>
      <c r="H203" s="8" t="n">
        <v>620</v>
      </c>
      <c r="I203" s="8" t="inlineStr">
        <is>
          <t>ISO 3166-2:PT</t>
        </is>
      </c>
      <c r="J203" s="8" t="inlineStr">
        <is>
          <t>.pt</t>
        </is>
      </c>
    </row>
    <row r="204">
      <c r="C204" s="8" t="inlineStr">
        <is>
          <t>PR</t>
        </is>
      </c>
      <c r="D204" s="10" t="inlineStr">
        <is>
          <t>Puerto Rico</t>
        </is>
      </c>
      <c r="E204" s="8" t="inlineStr">
        <is>
          <t>The Commonwealth of Puerto Rico</t>
        </is>
      </c>
      <c r="F204" s="8" t="inlineStr">
        <is>
          <t>United States</t>
        </is>
      </c>
      <c r="G204" s="8" t="inlineStr">
        <is>
          <t>PRI</t>
        </is>
      </c>
      <c r="H204" s="8" t="n">
        <v>630</v>
      </c>
      <c r="I204" s="8" t="inlineStr">
        <is>
          <t>ISO 3166-2:PR</t>
        </is>
      </c>
      <c r="J204" s="8" t="inlineStr">
        <is>
          <t>.pr</t>
        </is>
      </c>
    </row>
    <row r="205">
      <c r="C205" s="8" t="inlineStr">
        <is>
          <t>QA</t>
        </is>
      </c>
      <c r="D205" s="10" t="inlineStr">
        <is>
          <t>Qatar</t>
        </is>
      </c>
      <c r="E205" s="8" t="inlineStr">
        <is>
          <t>The State of Qatar</t>
        </is>
      </c>
      <c r="F205" s="9" t="inlineStr">
        <is>
          <t>UN member state</t>
        </is>
      </c>
      <c r="G205" s="8" t="inlineStr">
        <is>
          <t>QAT</t>
        </is>
      </c>
      <c r="H205" s="8" t="n">
        <v>634</v>
      </c>
      <c r="I205" s="8" t="inlineStr">
        <is>
          <t>ISO 3166-2:QA</t>
        </is>
      </c>
      <c r="J205" s="8" t="inlineStr">
        <is>
          <t>.qa</t>
        </is>
      </c>
    </row>
    <row r="206" ht="12.75" customHeight="1">
      <c r="D206" s="10" t="inlineStr">
        <is>
          <t>Republic of China – See Taiwan (Province of China).</t>
        </is>
      </c>
    </row>
    <row r="207" ht="12.75" customHeight="1">
      <c r="D207" s="10" t="inlineStr">
        <is>
          <t>Republic of Korea – See Korea, The Republic of.</t>
        </is>
      </c>
    </row>
    <row r="208" ht="12.75" customHeight="1">
      <c r="D208" s="10" t="inlineStr">
        <is>
          <t>Republic of the Congo – See Congo, The.</t>
        </is>
      </c>
    </row>
    <row r="209">
      <c r="C209" s="8" t="inlineStr">
        <is>
          <t>RE</t>
        </is>
      </c>
      <c r="D209" s="10" t="inlineStr">
        <is>
          <t>Réunion</t>
        </is>
      </c>
      <c r="E209" s="8" t="inlineStr">
        <is>
          <t>Réunion</t>
        </is>
      </c>
      <c r="F209" s="8" t="inlineStr">
        <is>
          <t>France</t>
        </is>
      </c>
      <c r="G209" s="8" t="inlineStr">
        <is>
          <t>REU</t>
        </is>
      </c>
      <c r="H209" s="8" t="n">
        <v>638</v>
      </c>
      <c r="I209" s="8" t="inlineStr">
        <is>
          <t>ISO 3166-2:RE</t>
        </is>
      </c>
      <c r="J209" s="8" t="inlineStr">
        <is>
          <t>.re</t>
        </is>
      </c>
    </row>
    <row r="210">
      <c r="C210" s="8" t="inlineStr">
        <is>
          <t>RO</t>
        </is>
      </c>
      <c r="D210" s="10" t="inlineStr">
        <is>
          <t>Romania</t>
        </is>
      </c>
      <c r="E210" s="8" t="inlineStr">
        <is>
          <t>Romania</t>
        </is>
      </c>
      <c r="F210" s="9" t="inlineStr">
        <is>
          <t>UN member state</t>
        </is>
      </c>
      <c r="G210" s="8" t="inlineStr">
        <is>
          <t>ROU</t>
        </is>
      </c>
      <c r="H210" s="8" t="n">
        <v>642</v>
      </c>
      <c r="I210" s="8" t="inlineStr">
        <is>
          <t>ISO 3166-2:RO</t>
        </is>
      </c>
      <c r="J210" s="8" t="inlineStr">
        <is>
          <t>.ro</t>
        </is>
      </c>
    </row>
    <row r="211" ht="27" customHeight="1">
      <c r="C211" s="8" t="inlineStr">
        <is>
          <t>RU</t>
        </is>
      </c>
      <c r="D211" s="10" t="inlineStr">
        <is>
          <t>Russian Federation (the) [v]</t>
        </is>
      </c>
      <c r="E211" s="8" t="inlineStr">
        <is>
          <t>The Russian Federation</t>
        </is>
      </c>
      <c r="F211" s="9" t="inlineStr">
        <is>
          <t>UN member state</t>
        </is>
      </c>
      <c r="G211" s="8" t="inlineStr">
        <is>
          <t>RUS</t>
        </is>
      </c>
      <c r="H211" s="8" t="n">
        <v>643</v>
      </c>
      <c r="I211" s="8" t="inlineStr">
        <is>
          <t>ISO 3166-2:RU</t>
        </is>
      </c>
      <c r="J211" s="8" t="inlineStr">
        <is>
          <t>.ru</t>
        </is>
      </c>
    </row>
    <row r="212">
      <c r="C212" s="8" t="inlineStr">
        <is>
          <t>RW</t>
        </is>
      </c>
      <c r="D212" s="10" t="inlineStr">
        <is>
          <t>Rwanda</t>
        </is>
      </c>
      <c r="E212" s="8" t="inlineStr">
        <is>
          <t>The Republic of Rwanda</t>
        </is>
      </c>
      <c r="F212" s="9" t="inlineStr">
        <is>
          <t>UN member state</t>
        </is>
      </c>
      <c r="G212" s="8" t="inlineStr">
        <is>
          <t>RWA</t>
        </is>
      </c>
      <c r="H212" s="8" t="n">
        <v>646</v>
      </c>
      <c r="I212" s="8" t="inlineStr">
        <is>
          <t>ISO 3166-2:RW</t>
        </is>
      </c>
      <c r="J212" s="8" t="inlineStr">
        <is>
          <t>.rw</t>
        </is>
      </c>
    </row>
    <row r="213" ht="12.75" customHeight="1">
      <c r="D213" s="10" t="inlineStr">
        <is>
          <t>Saba – See Bonaire, Sint Eustatius and Saba.</t>
        </is>
      </c>
    </row>
    <row r="214" ht="12.75" customHeight="1">
      <c r="D214" s="10" t="inlineStr">
        <is>
          <t>Sahrawi Arab Democratic Republic – See Western Sahara.</t>
        </is>
      </c>
    </row>
    <row r="215">
      <c r="C215" s="8" t="inlineStr">
        <is>
          <t>BL</t>
        </is>
      </c>
      <c r="D215" s="10" t="inlineStr">
        <is>
          <t>Saint Barthélemy</t>
        </is>
      </c>
      <c r="E215" s="8" t="inlineStr">
        <is>
          <t>The Collectivity of Saint-Barthélemy</t>
        </is>
      </c>
      <c r="F215" s="8" t="inlineStr">
        <is>
          <t>France</t>
        </is>
      </c>
      <c r="G215" s="8" t="inlineStr">
        <is>
          <t>BLM</t>
        </is>
      </c>
      <c r="H215" s="8" t="n">
        <v>652</v>
      </c>
      <c r="I215" s="8" t="inlineStr">
        <is>
          <t>ISO 3166-2:BL</t>
        </is>
      </c>
      <c r="J215" s="8" t="inlineStr">
        <is>
          <t>.bl</t>
        </is>
      </c>
    </row>
    <row r="216" ht="25.5" customHeight="1">
      <c r="C216" s="8" t="inlineStr">
        <is>
          <t>SH</t>
        </is>
      </c>
      <c r="D216" s="10" t="inlineStr">
        <is>
          <t>Saint Helena</t>
        </is>
      </c>
      <c r="E216" s="8" t="inlineStr">
        <is>
          <t>Saint Helena, Ascension and Tristan da Cunha</t>
        </is>
      </c>
      <c r="F216" s="8" t="inlineStr">
        <is>
          <t>United Kingdom</t>
        </is>
      </c>
      <c r="G216" s="8" t="inlineStr">
        <is>
          <t>SHN</t>
        </is>
      </c>
      <c r="H216" s="8" t="n">
        <v>654</v>
      </c>
      <c r="I216" s="8" t="inlineStr">
        <is>
          <t>ISO 3166-2:SH</t>
        </is>
      </c>
      <c r="J216" s="8" t="inlineStr">
        <is>
          <t>.sh</t>
        </is>
      </c>
    </row>
    <row r="217">
      <c r="D217" s="10" t="inlineStr">
        <is>
          <t>Ascension Island</t>
        </is>
      </c>
    </row>
    <row r="218">
      <c r="D218" s="10" t="inlineStr">
        <is>
          <t>Tristan da Cunha</t>
        </is>
      </c>
    </row>
    <row r="219">
      <c r="C219" s="8" t="inlineStr">
        <is>
          <t>KN</t>
        </is>
      </c>
      <c r="D219" s="10" t="inlineStr">
        <is>
          <t>Saint Kitts and Nevis</t>
        </is>
      </c>
      <c r="E219" s="8" t="inlineStr">
        <is>
          <t>Saint Kitts and Nevis</t>
        </is>
      </c>
      <c r="F219" s="9" t="inlineStr">
        <is>
          <t>UN member state</t>
        </is>
      </c>
      <c r="G219" s="8" t="inlineStr">
        <is>
          <t>KNA</t>
        </is>
      </c>
      <c r="H219" s="8" t="n">
        <v>659</v>
      </c>
      <c r="I219" s="8" t="inlineStr">
        <is>
          <t>ISO 3166-2:KN</t>
        </is>
      </c>
      <c r="J219" s="8" t="inlineStr">
        <is>
          <t>.kn</t>
        </is>
      </c>
    </row>
    <row r="220">
      <c r="C220" s="8" t="inlineStr">
        <is>
          <t>LC</t>
        </is>
      </c>
      <c r="D220" s="10" t="inlineStr">
        <is>
          <t>Saint Lucia</t>
        </is>
      </c>
      <c r="E220" s="8" t="inlineStr">
        <is>
          <t>Saint Lucia</t>
        </is>
      </c>
      <c r="F220" s="9" t="inlineStr">
        <is>
          <t>UN member state</t>
        </is>
      </c>
      <c r="G220" s="8" t="inlineStr">
        <is>
          <t>LCA</t>
        </is>
      </c>
      <c r="H220" s="8" t="n">
        <v>662</v>
      </c>
      <c r="I220" s="8" t="inlineStr">
        <is>
          <t>ISO 3166-2:LC</t>
        </is>
      </c>
      <c r="J220" s="8" t="inlineStr">
        <is>
          <t>.lc</t>
        </is>
      </c>
    </row>
    <row r="221" ht="25.5" customHeight="1">
      <c r="C221" s="8" t="inlineStr">
        <is>
          <t>MF</t>
        </is>
      </c>
      <c r="D221" s="10" t="inlineStr">
        <is>
          <t>Saint Martin (French part)</t>
        </is>
      </c>
      <c r="E221" s="8" t="inlineStr">
        <is>
          <t>The Collectivity of Saint-Martin</t>
        </is>
      </c>
      <c r="F221" s="8" t="inlineStr">
        <is>
          <t>France</t>
        </is>
      </c>
      <c r="G221" s="8" t="inlineStr">
        <is>
          <t>MAF</t>
        </is>
      </c>
      <c r="H221" s="8" t="n">
        <v>663</v>
      </c>
      <c r="I221" s="8" t="inlineStr">
        <is>
          <t>ISO 3166-2:MF</t>
        </is>
      </c>
      <c r="J221" s="8" t="inlineStr">
        <is>
          <t>.mf</t>
        </is>
      </c>
    </row>
    <row r="222" ht="25.5" customHeight="1">
      <c r="C222" s="8" t="inlineStr">
        <is>
          <t>PM</t>
        </is>
      </c>
      <c r="D222" s="10" t="inlineStr">
        <is>
          <t>Saint Pierre and Miquelon</t>
        </is>
      </c>
      <c r="E222" s="8" t="inlineStr">
        <is>
          <t>The Overseas Collectivity of Saint-Pierre and Miquelon</t>
        </is>
      </c>
      <c r="F222" s="8" t="inlineStr">
        <is>
          <t>France</t>
        </is>
      </c>
      <c r="G222" s="8" t="inlineStr">
        <is>
          <t>SPM</t>
        </is>
      </c>
      <c r="H222" s="8" t="n">
        <v>666</v>
      </c>
      <c r="I222" s="8" t="inlineStr">
        <is>
          <t>ISO 3166-2:PM</t>
        </is>
      </c>
      <c r="J222" s="8" t="inlineStr">
        <is>
          <t>.pm</t>
        </is>
      </c>
    </row>
    <row r="223" ht="25.5" customHeight="1">
      <c r="C223" s="8" t="inlineStr">
        <is>
          <t>VC</t>
        </is>
      </c>
      <c r="D223" s="10" t="inlineStr">
        <is>
          <t>Saint Vincent and the Grenadines</t>
        </is>
      </c>
      <c r="E223" s="8" t="inlineStr">
        <is>
          <t>Saint Vincent and the Grenadines</t>
        </is>
      </c>
      <c r="F223" s="9" t="inlineStr">
        <is>
          <t>UN member state</t>
        </is>
      </c>
      <c r="G223" s="8" t="inlineStr">
        <is>
          <t>VCT</t>
        </is>
      </c>
      <c r="H223" s="8" t="n">
        <v>670</v>
      </c>
      <c r="I223" s="8" t="inlineStr">
        <is>
          <t>ISO 3166-2:VC</t>
        </is>
      </c>
      <c r="J223" s="8" t="inlineStr">
        <is>
          <t>.vc</t>
        </is>
      </c>
    </row>
    <row r="224">
      <c r="C224" s="8" t="inlineStr">
        <is>
          <t>WS</t>
        </is>
      </c>
      <c r="D224" s="10" t="inlineStr">
        <is>
          <t>Samoa</t>
        </is>
      </c>
      <c r="E224" s="8" t="inlineStr">
        <is>
          <t>The Independent State of Samoa</t>
        </is>
      </c>
      <c r="F224" s="9" t="inlineStr">
        <is>
          <t>UN member state</t>
        </is>
      </c>
      <c r="G224" s="8" t="inlineStr">
        <is>
          <t>WSM</t>
        </is>
      </c>
      <c r="H224" s="8" t="n">
        <v>882</v>
      </c>
      <c r="I224" s="8" t="inlineStr">
        <is>
          <t>ISO 3166-2:WS</t>
        </is>
      </c>
      <c r="J224" s="8" t="inlineStr">
        <is>
          <t>.ws</t>
        </is>
      </c>
    </row>
    <row r="225">
      <c r="C225" s="8" t="inlineStr">
        <is>
          <t>SM</t>
        </is>
      </c>
      <c r="D225" s="10" t="inlineStr">
        <is>
          <t>San Marino</t>
        </is>
      </c>
      <c r="E225" s="8" t="inlineStr">
        <is>
          <t>The Republic of San Marino</t>
        </is>
      </c>
      <c r="F225" s="9" t="inlineStr">
        <is>
          <t>UN member state</t>
        </is>
      </c>
      <c r="G225" s="8" t="inlineStr">
        <is>
          <t>SMR</t>
        </is>
      </c>
      <c r="H225" s="8" t="n">
        <v>674</v>
      </c>
      <c r="I225" s="8" t="inlineStr">
        <is>
          <t>ISO 3166-2:SM</t>
        </is>
      </c>
      <c r="J225" s="8" t="inlineStr">
        <is>
          <t>.sm</t>
        </is>
      </c>
    </row>
    <row r="226" ht="25.5" customHeight="1">
      <c r="C226" s="8" t="inlineStr">
        <is>
          <t>ST</t>
        </is>
      </c>
      <c r="D226" s="10" t="inlineStr">
        <is>
          <t>Sao Tome and Principe</t>
        </is>
      </c>
      <c r="E226" s="8" t="inlineStr">
        <is>
          <t>The Democratic Republic of São Tomé and Príncipe</t>
        </is>
      </c>
      <c r="F226" s="9" t="inlineStr">
        <is>
          <t>UN member state</t>
        </is>
      </c>
      <c r="G226" s="8" t="inlineStr">
        <is>
          <t>STP</t>
        </is>
      </c>
      <c r="H226" s="8" t="n">
        <v>678</v>
      </c>
      <c r="I226" s="8" t="inlineStr">
        <is>
          <t>ISO 3166-2:ST</t>
        </is>
      </c>
      <c r="J226" s="8" t="inlineStr">
        <is>
          <t>.st</t>
        </is>
      </c>
    </row>
    <row r="227">
      <c r="C227" s="8" t="inlineStr">
        <is>
          <t>SA</t>
        </is>
      </c>
      <c r="D227" s="10" t="inlineStr">
        <is>
          <t>Saudi Arabia</t>
        </is>
      </c>
      <c r="E227" s="8" t="inlineStr">
        <is>
          <t>The Kingdom of Saudi Arabia</t>
        </is>
      </c>
      <c r="F227" s="9" t="inlineStr">
        <is>
          <t>UN member state</t>
        </is>
      </c>
      <c r="G227" s="8" t="inlineStr">
        <is>
          <t>SAU</t>
        </is>
      </c>
      <c r="H227" s="8" t="n">
        <v>682</v>
      </c>
      <c r="I227" s="8" t="inlineStr">
        <is>
          <t>ISO 3166-2:SA</t>
        </is>
      </c>
      <c r="J227" s="8" t="inlineStr">
        <is>
          <t>.sa</t>
        </is>
      </c>
    </row>
    <row r="228" ht="12.75" customHeight="1">
      <c r="D228" s="10" t="inlineStr">
        <is>
          <t>Scotland – See United Kingdom, The.</t>
        </is>
      </c>
    </row>
    <row r="229">
      <c r="C229" s="8" t="inlineStr">
        <is>
          <t>SN</t>
        </is>
      </c>
      <c r="D229" s="10" t="inlineStr">
        <is>
          <t>Senegal</t>
        </is>
      </c>
      <c r="E229" s="8" t="inlineStr">
        <is>
          <t>The Republic of Senegal</t>
        </is>
      </c>
      <c r="F229" s="9" t="inlineStr">
        <is>
          <t>UN member state</t>
        </is>
      </c>
      <c r="G229" s="8" t="inlineStr">
        <is>
          <t>SEN</t>
        </is>
      </c>
      <c r="H229" s="8" t="n">
        <v>686</v>
      </c>
      <c r="I229" s="8" t="inlineStr">
        <is>
          <t>ISO 3166-2:SN</t>
        </is>
      </c>
      <c r="J229" s="8" t="inlineStr">
        <is>
          <t>.sn</t>
        </is>
      </c>
    </row>
    <row r="230">
      <c r="C230" s="8" t="inlineStr">
        <is>
          <t>RS</t>
        </is>
      </c>
      <c r="D230" s="10" t="inlineStr">
        <is>
          <t>Serbia</t>
        </is>
      </c>
      <c r="E230" s="8" t="inlineStr">
        <is>
          <t>The Republic of Serbia</t>
        </is>
      </c>
      <c r="F230" s="9" t="inlineStr">
        <is>
          <t>UN member state</t>
        </is>
      </c>
      <c r="G230" s="8" t="inlineStr">
        <is>
          <t>SRB</t>
        </is>
      </c>
      <c r="H230" s="8" t="n">
        <v>688</v>
      </c>
      <c r="I230" s="8" t="inlineStr">
        <is>
          <t>ISO 3166-2:RS</t>
        </is>
      </c>
      <c r="J230" s="8" t="inlineStr">
        <is>
          <t>.rs</t>
        </is>
      </c>
    </row>
    <row r="231">
      <c r="C231" s="8" t="inlineStr">
        <is>
          <t>SC</t>
        </is>
      </c>
      <c r="D231" s="10" t="inlineStr">
        <is>
          <t>Seychelles</t>
        </is>
      </c>
      <c r="E231" s="8" t="inlineStr">
        <is>
          <t>The Republic of Seychelles</t>
        </is>
      </c>
      <c r="F231" s="9" t="inlineStr">
        <is>
          <t>UN member state</t>
        </is>
      </c>
      <c r="G231" s="8" t="inlineStr">
        <is>
          <t>SYC</t>
        </is>
      </c>
      <c r="H231" s="8" t="n">
        <v>690</v>
      </c>
      <c r="I231" s="8" t="inlineStr">
        <is>
          <t>ISO 3166-2:SC</t>
        </is>
      </c>
      <c r="J231" s="8" t="inlineStr">
        <is>
          <t>.sc</t>
        </is>
      </c>
    </row>
    <row r="232">
      <c r="C232" s="8" t="inlineStr">
        <is>
          <t>SL</t>
        </is>
      </c>
      <c r="D232" s="10" t="inlineStr">
        <is>
          <t>Sierra Leone</t>
        </is>
      </c>
      <c r="E232" s="8" t="inlineStr">
        <is>
          <t>The Republic of Sierra Leone</t>
        </is>
      </c>
      <c r="F232" s="9" t="inlineStr">
        <is>
          <t>UN member state</t>
        </is>
      </c>
      <c r="G232" s="8" t="inlineStr">
        <is>
          <t>SLE</t>
        </is>
      </c>
      <c r="H232" s="8" t="n">
        <v>694</v>
      </c>
      <c r="I232" s="8" t="inlineStr">
        <is>
          <t>ISO 3166-2:SL</t>
        </is>
      </c>
      <c r="J232" s="8" t="inlineStr">
        <is>
          <t>.sl</t>
        </is>
      </c>
    </row>
    <row r="233">
      <c r="C233" s="8" t="inlineStr">
        <is>
          <t>SG</t>
        </is>
      </c>
      <c r="D233" s="10" t="inlineStr">
        <is>
          <t>Singapore</t>
        </is>
      </c>
      <c r="E233" s="8" t="inlineStr">
        <is>
          <t>The Republic of Singapore</t>
        </is>
      </c>
      <c r="F233" s="9" t="inlineStr">
        <is>
          <t>UN member state</t>
        </is>
      </c>
      <c r="G233" s="8" t="inlineStr">
        <is>
          <t>SGP</t>
        </is>
      </c>
      <c r="H233" s="8" t="n">
        <v>702</v>
      </c>
      <c r="I233" s="8" t="inlineStr">
        <is>
          <t>ISO 3166-2:SG</t>
        </is>
      </c>
      <c r="J233" s="8" t="inlineStr">
        <is>
          <t>.sg</t>
        </is>
      </c>
    </row>
    <row r="234" ht="12.75" customHeight="1">
      <c r="D234" s="10" t="inlineStr">
        <is>
          <t>Sint Eustatius – See Bonaire, Sint Eustatius and Saba.</t>
        </is>
      </c>
    </row>
    <row r="235" ht="25.5" customHeight="1">
      <c r="C235" s="8" t="inlineStr">
        <is>
          <t>SX</t>
        </is>
      </c>
      <c r="D235" s="10" t="inlineStr">
        <is>
          <t>Sint Maarten (Dutch part)</t>
        </is>
      </c>
      <c r="E235" s="8" t="inlineStr">
        <is>
          <t>Sint Maarten</t>
        </is>
      </c>
      <c r="F235" s="8" t="inlineStr">
        <is>
          <t>Netherlands</t>
        </is>
      </c>
      <c r="G235" s="8" t="inlineStr">
        <is>
          <t>SXM</t>
        </is>
      </c>
      <c r="H235" s="8" t="n">
        <v>534</v>
      </c>
      <c r="I235" s="8" t="inlineStr">
        <is>
          <t>ISO 3166-2:SX</t>
        </is>
      </c>
      <c r="J235" s="8" t="inlineStr">
        <is>
          <t>.sx</t>
        </is>
      </c>
    </row>
    <row r="236">
      <c r="C236" s="8" t="inlineStr">
        <is>
          <t>SK</t>
        </is>
      </c>
      <c r="D236" s="10" t="inlineStr">
        <is>
          <t>Slovakia</t>
        </is>
      </c>
      <c r="E236" s="8" t="inlineStr">
        <is>
          <t>The Slovak Republic</t>
        </is>
      </c>
      <c r="F236" s="9" t="inlineStr">
        <is>
          <t>UN member state</t>
        </is>
      </c>
      <c r="G236" s="8" t="inlineStr">
        <is>
          <t>SVK</t>
        </is>
      </c>
      <c r="H236" s="8" t="n">
        <v>703</v>
      </c>
      <c r="I236" s="8" t="inlineStr">
        <is>
          <t>ISO 3166-2:SK</t>
        </is>
      </c>
      <c r="J236" s="8" t="inlineStr">
        <is>
          <t>.sk</t>
        </is>
      </c>
    </row>
    <row r="237">
      <c r="C237" s="8" t="inlineStr">
        <is>
          <t>SI</t>
        </is>
      </c>
      <c r="D237" s="10" t="inlineStr">
        <is>
          <t>Slovenia</t>
        </is>
      </c>
      <c r="E237" s="8" t="inlineStr">
        <is>
          <t>The Republic of Slovenia</t>
        </is>
      </c>
      <c r="F237" s="9" t="inlineStr">
        <is>
          <t>UN member state</t>
        </is>
      </c>
      <c r="G237" s="8" t="inlineStr">
        <is>
          <t>SVN</t>
        </is>
      </c>
      <c r="H237" s="8" t="n">
        <v>705</v>
      </c>
      <c r="I237" s="8" t="inlineStr">
        <is>
          <t>ISO 3166-2:SI</t>
        </is>
      </c>
      <c r="J237" s="8" t="inlineStr">
        <is>
          <t>.si</t>
        </is>
      </c>
    </row>
    <row r="238">
      <c r="C238" s="8" t="inlineStr">
        <is>
          <t>SB</t>
        </is>
      </c>
      <c r="D238" s="10" t="inlineStr">
        <is>
          <t>Solomon Islands</t>
        </is>
      </c>
      <c r="E238" s="8" t="inlineStr">
        <is>
          <t>The Solomon Islands</t>
        </is>
      </c>
      <c r="F238" s="9" t="inlineStr">
        <is>
          <t>UN member state</t>
        </is>
      </c>
      <c r="G238" s="8" t="inlineStr">
        <is>
          <t>SLB</t>
        </is>
      </c>
      <c r="H238" s="8" t="n">
        <v>90</v>
      </c>
      <c r="I238" s="8" t="inlineStr">
        <is>
          <t>ISO 3166-2:SB</t>
        </is>
      </c>
      <c r="J238" s="8" t="inlineStr">
        <is>
          <t>.sb</t>
        </is>
      </c>
    </row>
    <row r="239">
      <c r="C239" s="8" t="inlineStr">
        <is>
          <t>SO</t>
        </is>
      </c>
      <c r="D239" s="10" t="inlineStr">
        <is>
          <t>Somalia</t>
        </is>
      </c>
      <c r="E239" s="8" t="inlineStr">
        <is>
          <t>The Federal Republic of Somalia</t>
        </is>
      </c>
      <c r="F239" s="9" t="inlineStr">
        <is>
          <t>UN member state</t>
        </is>
      </c>
      <c r="G239" s="8" t="inlineStr">
        <is>
          <t>SOM</t>
        </is>
      </c>
      <c r="H239" s="8" t="n">
        <v>706</v>
      </c>
      <c r="I239" s="8" t="inlineStr">
        <is>
          <t>ISO 3166-2:SO</t>
        </is>
      </c>
      <c r="J239" s="8" t="inlineStr">
        <is>
          <t>.so</t>
        </is>
      </c>
    </row>
    <row r="240">
      <c r="C240" s="8" t="inlineStr">
        <is>
          <t>ZA</t>
        </is>
      </c>
      <c r="D240" s="10" t="inlineStr">
        <is>
          <t>South Africa</t>
        </is>
      </c>
      <c r="E240" s="8" t="inlineStr">
        <is>
          <t>The Republic of South Africa</t>
        </is>
      </c>
      <c r="F240" s="9" t="inlineStr">
        <is>
          <t>UN member state</t>
        </is>
      </c>
      <c r="G240" s="8" t="inlineStr">
        <is>
          <t>ZAF</t>
        </is>
      </c>
      <c r="H240" s="8" t="n">
        <v>710</v>
      </c>
      <c r="I240" s="8" t="inlineStr">
        <is>
          <t>ISO 3166-2:ZA</t>
        </is>
      </c>
      <c r="J240" s="8" t="inlineStr">
        <is>
          <t>.za</t>
        </is>
      </c>
    </row>
    <row r="241" ht="38.25" customHeight="1">
      <c r="C241" s="8" t="inlineStr">
        <is>
          <t>GS</t>
        </is>
      </c>
      <c r="D241" s="10" t="inlineStr">
        <is>
          <t>South Georgia and the South Sandwich Islands</t>
        </is>
      </c>
      <c r="E241" s="8" t="inlineStr">
        <is>
          <t>South Georgia and the South Sandwich Islands</t>
        </is>
      </c>
      <c r="F241" s="8" t="inlineStr">
        <is>
          <t>United Kingdom</t>
        </is>
      </c>
      <c r="G241" s="8" t="inlineStr">
        <is>
          <t>SGS</t>
        </is>
      </c>
      <c r="H241" s="8" t="n">
        <v>239</v>
      </c>
      <c r="I241" s="8" t="inlineStr">
        <is>
          <t>ISO 3166-2:GS</t>
        </is>
      </c>
      <c r="J241" s="8" t="inlineStr">
        <is>
          <t>.gs</t>
        </is>
      </c>
    </row>
    <row r="242" ht="12.75" customHeight="1">
      <c r="D242" s="10" t="inlineStr">
        <is>
          <t>South Korea – See Korea, The Republic of.</t>
        </is>
      </c>
    </row>
    <row r="243">
      <c r="C243" s="8" t="inlineStr">
        <is>
          <t>SS</t>
        </is>
      </c>
      <c r="D243" s="10" t="inlineStr">
        <is>
          <t>South Sudan</t>
        </is>
      </c>
      <c r="E243" s="8" t="inlineStr">
        <is>
          <t>The Republic of South Sudan</t>
        </is>
      </c>
      <c r="F243" s="9" t="inlineStr">
        <is>
          <t>UN member state</t>
        </is>
      </c>
      <c r="G243" s="8" t="inlineStr">
        <is>
          <t>SSD</t>
        </is>
      </c>
      <c r="H243" s="8" t="n">
        <v>728</v>
      </c>
      <c r="I243" s="8" t="inlineStr">
        <is>
          <t>ISO 3166-2:SS</t>
        </is>
      </c>
      <c r="J243" s="8" t="inlineStr">
        <is>
          <t>.ss</t>
        </is>
      </c>
    </row>
    <row r="244">
      <c r="C244" s="8" t="inlineStr">
        <is>
          <t>ES</t>
        </is>
      </c>
      <c r="D244" s="10" t="inlineStr">
        <is>
          <t>Spain</t>
        </is>
      </c>
      <c r="E244" s="8" t="inlineStr">
        <is>
          <t>The Kingdom of Spain</t>
        </is>
      </c>
      <c r="F244" s="9" t="inlineStr">
        <is>
          <t>UN member state</t>
        </is>
      </c>
      <c r="G244" s="8" t="inlineStr">
        <is>
          <t>ESP</t>
        </is>
      </c>
      <c r="H244" s="8" t="n">
        <v>724</v>
      </c>
      <c r="I244" s="8" t="inlineStr">
        <is>
          <t>ISO 3166-2:ES</t>
        </is>
      </c>
      <c r="J244" s="8" t="inlineStr">
        <is>
          <t>.es</t>
        </is>
      </c>
    </row>
    <row r="245">
      <c r="C245" s="8" t="inlineStr">
        <is>
          <t>LK</t>
        </is>
      </c>
      <c r="D245" s="10" t="inlineStr">
        <is>
          <t>Sri Lanka</t>
        </is>
      </c>
      <c r="E245" s="8" t="inlineStr">
        <is>
          <t>The Democratic Socialist Republic of Sri Lanka</t>
        </is>
      </c>
      <c r="F245" s="9" t="inlineStr">
        <is>
          <t>UN member state</t>
        </is>
      </c>
      <c r="G245" s="8" t="inlineStr">
        <is>
          <t>LKA</t>
        </is>
      </c>
      <c r="H245" s="8" t="n">
        <v>144</v>
      </c>
      <c r="I245" s="8" t="inlineStr">
        <is>
          <t>ISO 3166-2:LK</t>
        </is>
      </c>
      <c r="J245" s="8" t="inlineStr">
        <is>
          <t>.lk</t>
        </is>
      </c>
    </row>
    <row r="246">
      <c r="C246" s="8" t="inlineStr">
        <is>
          <t>SD</t>
        </is>
      </c>
      <c r="D246" s="10" t="inlineStr">
        <is>
          <t>Sudan (the)</t>
        </is>
      </c>
      <c r="E246" s="8" t="inlineStr">
        <is>
          <t>The Republic of the Sudan</t>
        </is>
      </c>
      <c r="F246" s="9" t="inlineStr">
        <is>
          <t>UN member state</t>
        </is>
      </c>
      <c r="G246" s="8" t="inlineStr">
        <is>
          <t>SDN</t>
        </is>
      </c>
      <c r="H246" s="8" t="n">
        <v>729</v>
      </c>
      <c r="I246" s="8" t="inlineStr">
        <is>
          <t>ISO 3166-2:SD</t>
        </is>
      </c>
      <c r="J246" s="8" t="inlineStr">
        <is>
          <t>.sd</t>
        </is>
      </c>
    </row>
    <row r="247">
      <c r="C247" s="8" t="inlineStr">
        <is>
          <t>SR</t>
        </is>
      </c>
      <c r="D247" s="10" t="inlineStr">
        <is>
          <t>Suriname</t>
        </is>
      </c>
      <c r="E247" s="8" t="inlineStr">
        <is>
          <t>The Republic of Suriname</t>
        </is>
      </c>
      <c r="F247" s="9" t="inlineStr">
        <is>
          <t>UN member state</t>
        </is>
      </c>
      <c r="G247" s="8" t="inlineStr">
        <is>
          <t>SUR</t>
        </is>
      </c>
      <c r="H247" s="8" t="n">
        <v>740</v>
      </c>
      <c r="I247" s="8" t="inlineStr">
        <is>
          <t>ISO 3166-2:SR</t>
        </is>
      </c>
      <c r="J247" s="8" t="inlineStr">
        <is>
          <t>.sr</t>
        </is>
      </c>
    </row>
    <row r="248" ht="12.75" customHeight="1">
      <c r="C248" s="8" t="inlineStr">
        <is>
          <t>SJ</t>
        </is>
      </c>
      <c r="D248" s="10" t="inlineStr">
        <is>
          <t>Svalbard</t>
        </is>
      </c>
      <c r="E248" s="8" t="inlineStr">
        <is>
          <t>Svalbard and Jan Mayen</t>
        </is>
      </c>
      <c r="F248" s="8" t="inlineStr">
        <is>
          <t>Norway</t>
        </is>
      </c>
      <c r="G248" s="8" t="inlineStr">
        <is>
          <t>SJM</t>
        </is>
      </c>
      <c r="H248" s="8" t="n">
        <v>744</v>
      </c>
      <c r="I248" s="8" t="inlineStr">
        <is>
          <t>ISO 3166-2:SJ</t>
        </is>
      </c>
      <c r="J248" s="8" t="inlineStr">
        <is>
          <t>[w]</t>
        </is>
      </c>
    </row>
    <row r="249">
      <c r="D249" s="10" t="inlineStr">
        <is>
          <t>Jan Mayen</t>
        </is>
      </c>
    </row>
    <row r="250">
      <c r="C250" s="8" t="inlineStr">
        <is>
          <t>SE</t>
        </is>
      </c>
      <c r="D250" s="10" t="inlineStr">
        <is>
          <t>Sweden</t>
        </is>
      </c>
      <c r="E250" s="8" t="inlineStr">
        <is>
          <t>The Kingdom of Sweden</t>
        </is>
      </c>
      <c r="F250" s="9" t="inlineStr">
        <is>
          <t>UN member state</t>
        </is>
      </c>
      <c r="G250" s="8" t="inlineStr">
        <is>
          <t>SWE</t>
        </is>
      </c>
      <c r="H250" s="8" t="n">
        <v>752</v>
      </c>
      <c r="I250" s="8" t="inlineStr">
        <is>
          <t>ISO 3166-2:SE</t>
        </is>
      </c>
      <c r="J250" s="8" t="inlineStr">
        <is>
          <t>.se</t>
        </is>
      </c>
    </row>
    <row r="251">
      <c r="C251" s="8" t="inlineStr">
        <is>
          <t>CH</t>
        </is>
      </c>
      <c r="D251" s="10" t="inlineStr">
        <is>
          <t>Switzerland</t>
        </is>
      </c>
      <c r="E251" s="8" t="inlineStr">
        <is>
          <t>The Swiss Confederation</t>
        </is>
      </c>
      <c r="F251" s="9" t="inlineStr">
        <is>
          <t>UN member state</t>
        </is>
      </c>
      <c r="G251" s="8" t="inlineStr">
        <is>
          <t>CHE</t>
        </is>
      </c>
      <c r="H251" s="8" t="n">
        <v>756</v>
      </c>
      <c r="I251" s="8" t="inlineStr">
        <is>
          <t>ISO 3166-2:CH</t>
        </is>
      </c>
      <c r="J251" s="8" t="inlineStr">
        <is>
          <t>.ch</t>
        </is>
      </c>
    </row>
    <row r="252" ht="27" customHeight="1">
      <c r="C252" s="8" t="inlineStr">
        <is>
          <t>SY</t>
        </is>
      </c>
      <c r="D252" s="10" t="inlineStr">
        <is>
          <t>Syrian Arab Republic (the) [x]</t>
        </is>
      </c>
      <c r="E252" s="8" t="inlineStr">
        <is>
          <t>The Syrian Arab Republic</t>
        </is>
      </c>
      <c r="F252" s="9" t="inlineStr">
        <is>
          <t>UN member state</t>
        </is>
      </c>
      <c r="G252" s="8" t="inlineStr">
        <is>
          <t>SYR</t>
        </is>
      </c>
      <c r="H252" s="8" t="n">
        <v>760</v>
      </c>
      <c r="I252" s="8" t="inlineStr">
        <is>
          <t>ISO 3166-2:SY</t>
        </is>
      </c>
      <c r="J252" s="8" t="inlineStr">
        <is>
          <t>.sy</t>
        </is>
      </c>
    </row>
    <row r="253" ht="27" customHeight="1">
      <c r="C253" s="8" t="inlineStr">
        <is>
          <t>TW</t>
        </is>
      </c>
      <c r="D253" s="10" t="inlineStr">
        <is>
          <t>Taiwan (Province of China) [y]</t>
        </is>
      </c>
      <c r="E253" s="8" t="inlineStr">
        <is>
          <t>The Republic of China</t>
        </is>
      </c>
      <c r="F253" s="8" t="inlineStr">
        <is>
          <t>disputed [z]</t>
        </is>
      </c>
      <c r="G253" s="8" t="inlineStr">
        <is>
          <t>TWN</t>
        </is>
      </c>
      <c r="H253" s="8" t="n">
        <v>158</v>
      </c>
      <c r="I253" s="8" t="inlineStr">
        <is>
          <t>ISO 3166-2:TW</t>
        </is>
      </c>
      <c r="J253" s="8" t="inlineStr">
        <is>
          <t>.tw</t>
        </is>
      </c>
    </row>
    <row r="254">
      <c r="C254" s="8" t="inlineStr">
        <is>
          <t>TJ</t>
        </is>
      </c>
      <c r="D254" s="10" t="inlineStr">
        <is>
          <t>Tajikistan</t>
        </is>
      </c>
      <c r="E254" s="8" t="inlineStr">
        <is>
          <t>The Republic of Tajikistan</t>
        </is>
      </c>
      <c r="F254" s="9" t="inlineStr">
        <is>
          <t>UN member state</t>
        </is>
      </c>
      <c r="G254" s="8" t="inlineStr">
        <is>
          <t>TJK</t>
        </is>
      </c>
      <c r="H254" s="8" t="n">
        <v>762</v>
      </c>
      <c r="I254" s="8" t="inlineStr">
        <is>
          <t>ISO 3166-2:TJ</t>
        </is>
      </c>
      <c r="J254" s="8" t="inlineStr">
        <is>
          <t>.tj</t>
        </is>
      </c>
    </row>
    <row r="255" ht="25.5" customHeight="1">
      <c r="C255" s="8" t="inlineStr">
        <is>
          <t>TZ</t>
        </is>
      </c>
      <c r="D255" s="10" t="inlineStr">
        <is>
          <t>Tanzania, the United Republic of</t>
        </is>
      </c>
      <c r="E255" s="8" t="inlineStr">
        <is>
          <t>The United Republic of Tanzania</t>
        </is>
      </c>
      <c r="F255" s="9" t="inlineStr">
        <is>
          <t>UN member state</t>
        </is>
      </c>
      <c r="G255" s="8" t="inlineStr">
        <is>
          <t>TZA</t>
        </is>
      </c>
      <c r="H255" s="8" t="n">
        <v>834</v>
      </c>
      <c r="I255" s="8" t="inlineStr">
        <is>
          <t>ISO 3166-2:TZ</t>
        </is>
      </c>
      <c r="J255" s="8" t="inlineStr">
        <is>
          <t>.tz</t>
        </is>
      </c>
    </row>
    <row r="256">
      <c r="C256" s="8" t="inlineStr">
        <is>
          <t>TH</t>
        </is>
      </c>
      <c r="D256" s="10" t="inlineStr">
        <is>
          <t>Thailand</t>
        </is>
      </c>
      <c r="E256" s="8" t="inlineStr">
        <is>
          <t>The Kingdom of Thailand</t>
        </is>
      </c>
      <c r="F256" s="9" t="inlineStr">
        <is>
          <t>UN member state</t>
        </is>
      </c>
      <c r="G256" s="8" t="inlineStr">
        <is>
          <t>THA</t>
        </is>
      </c>
      <c r="H256" s="8" t="n">
        <v>764</v>
      </c>
      <c r="I256" s="8" t="inlineStr">
        <is>
          <t>ISO 3166-2:TH</t>
        </is>
      </c>
      <c r="J256" s="8" t="inlineStr">
        <is>
          <t>.th</t>
        </is>
      </c>
    </row>
    <row r="257" ht="14.25" customHeight="1">
      <c r="C257" s="8" t="inlineStr">
        <is>
          <t>TL</t>
        </is>
      </c>
      <c r="D257" s="10" t="inlineStr">
        <is>
          <t>Timor-Leste [aa]</t>
        </is>
      </c>
      <c r="E257" s="8" t="inlineStr">
        <is>
          <t>The Democratic Republic of Timor-Leste</t>
        </is>
      </c>
      <c r="F257" s="9" t="inlineStr">
        <is>
          <t>UN member state</t>
        </is>
      </c>
      <c r="G257" s="8" t="inlineStr">
        <is>
          <t>TLS</t>
        </is>
      </c>
      <c r="H257" s="8" t="n">
        <v>626</v>
      </c>
      <c r="I257" s="8" t="inlineStr">
        <is>
          <t>ISO 3166-2:TL</t>
        </is>
      </c>
      <c r="J257" s="8" t="inlineStr">
        <is>
          <t>.tl</t>
        </is>
      </c>
    </row>
    <row r="258">
      <c r="C258" s="8" t="inlineStr">
        <is>
          <t>TG</t>
        </is>
      </c>
      <c r="D258" s="10" t="inlineStr">
        <is>
          <t>Togo</t>
        </is>
      </c>
      <c r="E258" s="8" t="inlineStr">
        <is>
          <t>The Togolese Republic</t>
        </is>
      </c>
      <c r="F258" s="9" t="inlineStr">
        <is>
          <t>UN member state</t>
        </is>
      </c>
      <c r="G258" s="8" t="inlineStr">
        <is>
          <t>TGO</t>
        </is>
      </c>
      <c r="H258" s="8" t="n">
        <v>768</v>
      </c>
      <c r="I258" s="8" t="inlineStr">
        <is>
          <t>ISO 3166-2:TG</t>
        </is>
      </c>
      <c r="J258" s="8" t="inlineStr">
        <is>
          <t>.tg</t>
        </is>
      </c>
    </row>
    <row r="259">
      <c r="C259" s="8" t="inlineStr">
        <is>
          <t>TK</t>
        </is>
      </c>
      <c r="D259" s="10" t="inlineStr">
        <is>
          <t>Tokelau</t>
        </is>
      </c>
      <c r="E259" s="8" t="inlineStr">
        <is>
          <t>Tokelau</t>
        </is>
      </c>
      <c r="F259" s="8" t="inlineStr">
        <is>
          <t>New Zealand</t>
        </is>
      </c>
      <c r="G259" s="8" t="inlineStr">
        <is>
          <t>TKL</t>
        </is>
      </c>
      <c r="H259" s="8" t="n">
        <v>772</v>
      </c>
      <c r="I259" s="8" t="inlineStr">
        <is>
          <t>ISO 3166-2:TK</t>
        </is>
      </c>
      <c r="J259" s="8" t="inlineStr">
        <is>
          <t>.tk</t>
        </is>
      </c>
    </row>
    <row r="260">
      <c r="C260" s="8" t="inlineStr">
        <is>
          <t>TO</t>
        </is>
      </c>
      <c r="D260" s="10" t="inlineStr">
        <is>
          <t>Tonga</t>
        </is>
      </c>
      <c r="E260" s="8" t="inlineStr">
        <is>
          <t>The Kingdom of Tonga</t>
        </is>
      </c>
      <c r="F260" s="9" t="inlineStr">
        <is>
          <t>UN member state</t>
        </is>
      </c>
      <c r="G260" s="8" t="inlineStr">
        <is>
          <t>TON</t>
        </is>
      </c>
      <c r="H260" s="8" t="n">
        <v>776</v>
      </c>
      <c r="I260" s="8" t="inlineStr">
        <is>
          <t>ISO 3166-2:TO</t>
        </is>
      </c>
      <c r="J260" s="8" t="inlineStr">
        <is>
          <t>.to</t>
        </is>
      </c>
    </row>
    <row r="261">
      <c r="C261" s="8" t="inlineStr">
        <is>
          <t>TT</t>
        </is>
      </c>
      <c r="D261" s="10" t="inlineStr">
        <is>
          <t>Trinidad and Tobago</t>
        </is>
      </c>
      <c r="E261" s="8" t="inlineStr">
        <is>
          <t>The Republic of Trinidad and Tobago</t>
        </is>
      </c>
      <c r="F261" s="9" t="inlineStr">
        <is>
          <t>UN member state</t>
        </is>
      </c>
      <c r="G261" s="8" t="inlineStr">
        <is>
          <t>TTO</t>
        </is>
      </c>
      <c r="H261" s="8" t="n">
        <v>780</v>
      </c>
      <c r="I261" s="8" t="inlineStr">
        <is>
          <t>ISO 3166-2:TT</t>
        </is>
      </c>
      <c r="J261" s="8" t="inlineStr">
        <is>
          <t>.tt</t>
        </is>
      </c>
    </row>
    <row r="262">
      <c r="C262" s="8" t="inlineStr">
        <is>
          <t>TN</t>
        </is>
      </c>
      <c r="D262" s="10" t="inlineStr">
        <is>
          <t>Tunisia</t>
        </is>
      </c>
      <c r="E262" s="8" t="inlineStr">
        <is>
          <t>The Republic of Tunisia</t>
        </is>
      </c>
      <c r="F262" s="9" t="inlineStr">
        <is>
          <t>UN member state</t>
        </is>
      </c>
      <c r="G262" s="8" t="inlineStr">
        <is>
          <t>TUN</t>
        </is>
      </c>
      <c r="H262" s="8" t="n">
        <v>788</v>
      </c>
      <c r="I262" s="8" t="inlineStr">
        <is>
          <t>ISO 3166-2:TN</t>
        </is>
      </c>
      <c r="J262" s="8" t="inlineStr">
        <is>
          <t>.tn</t>
        </is>
      </c>
    </row>
    <row r="263">
      <c r="C263" s="8" t="inlineStr">
        <is>
          <t>TR</t>
        </is>
      </c>
      <c r="D263" s="10" t="inlineStr">
        <is>
          <t>Turkey</t>
        </is>
      </c>
      <c r="E263" s="8" t="inlineStr">
        <is>
          <t>The Republic of Turkey</t>
        </is>
      </c>
      <c r="F263" s="9" t="inlineStr">
        <is>
          <t>UN member state</t>
        </is>
      </c>
      <c r="G263" s="8" t="inlineStr">
        <is>
          <t>TUR</t>
        </is>
      </c>
      <c r="H263" s="8" t="n">
        <v>792</v>
      </c>
      <c r="I263" s="8" t="inlineStr">
        <is>
          <t>ISO 3166-2:TR</t>
        </is>
      </c>
      <c r="J263" s="8" t="inlineStr">
        <is>
          <t>.tr</t>
        </is>
      </c>
    </row>
    <row r="264">
      <c r="C264" s="8" t="inlineStr">
        <is>
          <t>TM</t>
        </is>
      </c>
      <c r="D264" s="10" t="inlineStr">
        <is>
          <t>Turkmenistan</t>
        </is>
      </c>
      <c r="E264" s="8" t="inlineStr">
        <is>
          <t>Turkmenistan</t>
        </is>
      </c>
      <c r="F264" s="9" t="inlineStr">
        <is>
          <t>UN member state</t>
        </is>
      </c>
      <c r="G264" s="8" t="inlineStr">
        <is>
          <t>TKM</t>
        </is>
      </c>
      <c r="H264" s="8" t="n">
        <v>795</v>
      </c>
      <c r="I264" s="8" t="inlineStr">
        <is>
          <t>ISO 3166-2:TM</t>
        </is>
      </c>
      <c r="J264" s="8" t="inlineStr">
        <is>
          <t>.tm</t>
        </is>
      </c>
    </row>
    <row r="265" ht="25.5" customHeight="1">
      <c r="C265" s="8" t="inlineStr">
        <is>
          <t>TC</t>
        </is>
      </c>
      <c r="D265" s="10" t="inlineStr">
        <is>
          <t>Turks and Caicos Islands (the)</t>
        </is>
      </c>
      <c r="E265" s="8" t="inlineStr">
        <is>
          <t>The Turks and Caicos Islands</t>
        </is>
      </c>
      <c r="F265" s="8" t="inlineStr">
        <is>
          <t>United Kingdom</t>
        </is>
      </c>
      <c r="G265" s="8" t="inlineStr">
        <is>
          <t>TCA</t>
        </is>
      </c>
      <c r="H265" s="8" t="n">
        <v>796</v>
      </c>
      <c r="I265" s="8" t="inlineStr">
        <is>
          <t>ISO 3166-2:TC</t>
        </is>
      </c>
      <c r="J265" s="8" t="inlineStr">
        <is>
          <t>.tc</t>
        </is>
      </c>
    </row>
    <row r="266">
      <c r="C266" s="8" t="inlineStr">
        <is>
          <t>TV</t>
        </is>
      </c>
      <c r="D266" s="10" t="inlineStr">
        <is>
          <t>Tuvalu</t>
        </is>
      </c>
      <c r="E266" s="8" t="inlineStr">
        <is>
          <t>Tuvalu</t>
        </is>
      </c>
      <c r="F266" s="9" t="inlineStr">
        <is>
          <t>UN member state</t>
        </is>
      </c>
      <c r="G266" s="8" t="inlineStr">
        <is>
          <t>TUV</t>
        </is>
      </c>
      <c r="H266" s="8" t="n">
        <v>798</v>
      </c>
      <c r="I266" s="8" t="inlineStr">
        <is>
          <t>ISO 3166-2:TV</t>
        </is>
      </c>
      <c r="J266" s="8" t="inlineStr">
        <is>
          <t>.tv</t>
        </is>
      </c>
    </row>
    <row r="267">
      <c r="C267" s="8" t="inlineStr">
        <is>
          <t>UG</t>
        </is>
      </c>
      <c r="D267" s="10" t="inlineStr">
        <is>
          <t>Uganda</t>
        </is>
      </c>
      <c r="E267" s="8" t="inlineStr">
        <is>
          <t>The Republic of Uganda</t>
        </is>
      </c>
      <c r="F267" s="9" t="inlineStr">
        <is>
          <t>UN member state</t>
        </is>
      </c>
      <c r="G267" s="8" t="inlineStr">
        <is>
          <t>UGA</t>
        </is>
      </c>
      <c r="H267" s="8" t="n">
        <v>800</v>
      </c>
      <c r="I267" s="8" t="inlineStr">
        <is>
          <t>ISO 3166-2:UG</t>
        </is>
      </c>
      <c r="J267" s="8" t="inlineStr">
        <is>
          <t>.ug</t>
        </is>
      </c>
    </row>
    <row r="268">
      <c r="C268" s="8" t="inlineStr">
        <is>
          <t>UA</t>
        </is>
      </c>
      <c r="D268" s="10" t="inlineStr">
        <is>
          <t>Ukraine</t>
        </is>
      </c>
      <c r="E268" s="8" t="inlineStr">
        <is>
          <t>Ukraine</t>
        </is>
      </c>
      <c r="F268" s="9" t="inlineStr">
        <is>
          <t>UN member state</t>
        </is>
      </c>
      <c r="G268" s="8" t="inlineStr">
        <is>
          <t>UKR</t>
        </is>
      </c>
      <c r="H268" s="8" t="n">
        <v>804</v>
      </c>
      <c r="I268" s="8" t="inlineStr">
        <is>
          <t>ISO 3166-2:UA</t>
        </is>
      </c>
      <c r="J268" s="8" t="inlineStr">
        <is>
          <t>.ua</t>
        </is>
      </c>
    </row>
    <row r="269" ht="25.5" customHeight="1">
      <c r="C269" s="8" t="inlineStr">
        <is>
          <t>AE</t>
        </is>
      </c>
      <c r="D269" s="10" t="inlineStr">
        <is>
          <t>United Arab Emirates (the)</t>
        </is>
      </c>
      <c r="E269" s="8" t="inlineStr">
        <is>
          <t>The United Arab Emirates</t>
        </is>
      </c>
      <c r="F269" s="9" t="inlineStr">
        <is>
          <t>UN member state</t>
        </is>
      </c>
      <c r="G269" s="8" t="inlineStr">
        <is>
          <t>ARE</t>
        </is>
      </c>
      <c r="H269" s="8" t="n">
        <v>784</v>
      </c>
      <c r="I269" s="8" t="inlineStr">
        <is>
          <t>ISO 3166-2:AE</t>
        </is>
      </c>
      <c r="J269" s="8" t="inlineStr">
        <is>
          <t>.ae</t>
        </is>
      </c>
    </row>
    <row r="270" ht="38.25" customHeight="1">
      <c r="C270" s="8" t="inlineStr">
        <is>
          <t>GB</t>
        </is>
      </c>
      <c r="D270" s="10" t="inlineStr">
        <is>
          <t>United Kingdom of Great Britain and Northern Ireland (the)</t>
        </is>
      </c>
      <c r="E270" s="8" t="inlineStr">
        <is>
          <t>The United Kingdom of Great Britain and Northern Ireland</t>
        </is>
      </c>
      <c r="F270" s="9" t="inlineStr">
        <is>
          <t>UN member state</t>
        </is>
      </c>
      <c r="G270" s="8" t="inlineStr">
        <is>
          <t>GBR</t>
        </is>
      </c>
      <c r="H270" s="8" t="n">
        <v>826</v>
      </c>
      <c r="I270" s="8" t="inlineStr">
        <is>
          <t>ISO 3166-2:GB</t>
        </is>
      </c>
      <c r="J270" s="9" t="inlineStr">
        <is>
          <t>.gb .uk [ab]</t>
        </is>
      </c>
    </row>
    <row r="271" ht="39.75" customHeight="1">
      <c r="C271" s="8" t="inlineStr">
        <is>
          <t>UM</t>
        </is>
      </c>
      <c r="D271" s="10" t="inlineStr">
        <is>
          <t>United States Minor Outlying Islands (the) [ac]</t>
        </is>
      </c>
      <c r="E271" s="8" t="inlineStr">
        <is>
          <t>Baker Island, Howland Island, Jarvis Island, Johnston Atoll, Kingman Reef, Midway Atoll, Navassa Island, Palmyra Atoll, and Wake Island</t>
        </is>
      </c>
      <c r="F271" s="8" t="inlineStr">
        <is>
          <t>United States</t>
        </is>
      </c>
      <c r="G271" s="8" t="inlineStr">
        <is>
          <t>UMI</t>
        </is>
      </c>
      <c r="H271" s="8" t="n">
        <v>581</v>
      </c>
      <c r="I271" s="8" t="inlineStr">
        <is>
          <t>ISO 3166-2:UM</t>
        </is>
      </c>
      <c r="J271" s="8" t="inlineStr">
        <is>
          <t>[ad]</t>
        </is>
      </c>
    </row>
    <row r="272" ht="25.5" customHeight="1">
      <c r="C272" s="8" t="inlineStr">
        <is>
          <t>US</t>
        </is>
      </c>
      <c r="D272" s="10" t="inlineStr">
        <is>
          <t>United States of America (the)</t>
        </is>
      </c>
      <c r="E272" s="8" t="inlineStr">
        <is>
          <t>The United States of America</t>
        </is>
      </c>
      <c r="F272" s="9" t="inlineStr">
        <is>
          <t>UN member state</t>
        </is>
      </c>
      <c r="G272" s="8" t="inlineStr">
        <is>
          <t>USA</t>
        </is>
      </c>
      <c r="H272" s="8" t="n">
        <v>840</v>
      </c>
      <c r="I272" s="8" t="inlineStr">
        <is>
          <t>ISO 3166-2:US</t>
        </is>
      </c>
      <c r="J272" s="8" t="inlineStr">
        <is>
          <t>.us</t>
        </is>
      </c>
    </row>
    <row r="273" ht="12.75" customHeight="1">
      <c r="D273" s="10" t="inlineStr">
        <is>
          <t>United States Virgin Islands – See Virgin Islands (U.S.).</t>
        </is>
      </c>
    </row>
    <row r="274">
      <c r="C274" s="8" t="inlineStr">
        <is>
          <t>UY</t>
        </is>
      </c>
      <c r="D274" s="10" t="inlineStr">
        <is>
          <t>Uruguay</t>
        </is>
      </c>
      <c r="E274" s="8" t="inlineStr">
        <is>
          <t>The Oriental Republic of Uruguay</t>
        </is>
      </c>
      <c r="F274" s="9" t="inlineStr">
        <is>
          <t>UN member state</t>
        </is>
      </c>
      <c r="G274" s="8" t="inlineStr">
        <is>
          <t>URY</t>
        </is>
      </c>
      <c r="H274" s="8" t="n">
        <v>858</v>
      </c>
      <c r="I274" s="8" t="inlineStr">
        <is>
          <t>ISO 3166-2:UY</t>
        </is>
      </c>
      <c r="J274" s="8" t="inlineStr">
        <is>
          <t>.uy</t>
        </is>
      </c>
    </row>
    <row r="275">
      <c r="C275" s="8" t="inlineStr">
        <is>
          <t>UZ</t>
        </is>
      </c>
      <c r="D275" s="10" t="inlineStr">
        <is>
          <t>Uzbekistan</t>
        </is>
      </c>
      <c r="E275" s="8" t="inlineStr">
        <is>
          <t>The Republic of Uzbekistan</t>
        </is>
      </c>
      <c r="F275" s="9" t="inlineStr">
        <is>
          <t>UN member state</t>
        </is>
      </c>
      <c r="G275" s="8" t="inlineStr">
        <is>
          <t>UZB</t>
        </is>
      </c>
      <c r="H275" s="8" t="n">
        <v>860</v>
      </c>
      <c r="I275" s="8" t="inlineStr">
        <is>
          <t>ISO 3166-2:UZ</t>
        </is>
      </c>
      <c r="J275" s="8" t="inlineStr">
        <is>
          <t>.uz</t>
        </is>
      </c>
    </row>
    <row r="276">
      <c r="C276" s="8" t="inlineStr">
        <is>
          <t>VU</t>
        </is>
      </c>
      <c r="D276" s="10" t="inlineStr">
        <is>
          <t>Vanuatu</t>
        </is>
      </c>
      <c r="E276" s="8" t="inlineStr">
        <is>
          <t>The Republic of Vanuatu</t>
        </is>
      </c>
      <c r="F276" s="9" t="inlineStr">
        <is>
          <t>UN member state</t>
        </is>
      </c>
      <c r="G276" s="8" t="inlineStr">
        <is>
          <t>VUT</t>
        </is>
      </c>
      <c r="H276" s="8" t="n">
        <v>548</v>
      </c>
      <c r="I276" s="8" t="inlineStr">
        <is>
          <t>ISO 3166-2:VU</t>
        </is>
      </c>
      <c r="J276" s="8" t="inlineStr">
        <is>
          <t>.vu</t>
        </is>
      </c>
    </row>
    <row r="277" ht="12.75" customHeight="1">
      <c r="D277" s="10" t="inlineStr">
        <is>
          <t>Vatican City – See Holy See, The.</t>
        </is>
      </c>
    </row>
    <row r="278" ht="38.25" customHeight="1">
      <c r="C278" s="8" t="inlineStr">
        <is>
          <t>VE</t>
        </is>
      </c>
      <c r="D278" s="10" t="inlineStr">
        <is>
          <t>Venezuela (Bolivarian Republic of)</t>
        </is>
      </c>
      <c r="E278" s="8" t="inlineStr">
        <is>
          <t>The Bolivarian Republic of Venezuela</t>
        </is>
      </c>
      <c r="F278" s="9" t="inlineStr">
        <is>
          <t>UN member state</t>
        </is>
      </c>
      <c r="G278" s="8" t="inlineStr">
        <is>
          <t>VEN</t>
        </is>
      </c>
      <c r="H278" s="8" t="n">
        <v>862</v>
      </c>
      <c r="I278" s="8" t="inlineStr">
        <is>
          <t>ISO 3166-2:VE</t>
        </is>
      </c>
      <c r="J278" s="8" t="inlineStr">
        <is>
          <t>.ve</t>
        </is>
      </c>
    </row>
    <row r="279" ht="14.25" customHeight="1">
      <c r="C279" s="8" t="inlineStr">
        <is>
          <t>VN</t>
        </is>
      </c>
      <c r="D279" s="10" t="inlineStr">
        <is>
          <t>Viet Nam [ae]</t>
        </is>
      </c>
      <c r="E279" s="8" t="inlineStr">
        <is>
          <t>The Socialist Republic of Viet Nam</t>
        </is>
      </c>
      <c r="F279" s="9" t="inlineStr">
        <is>
          <t>UN member state</t>
        </is>
      </c>
      <c r="G279" s="8" t="inlineStr">
        <is>
          <t>VNM</t>
        </is>
      </c>
      <c r="H279" s="8" t="n">
        <v>704</v>
      </c>
      <c r="I279" s="8" t="inlineStr">
        <is>
          <t>ISO 3166-2:VN</t>
        </is>
      </c>
      <c r="J279" s="8" t="inlineStr">
        <is>
          <t>.vn</t>
        </is>
      </c>
    </row>
    <row r="280" ht="27" customHeight="1">
      <c r="C280" s="8" t="inlineStr">
        <is>
          <t>VG</t>
        </is>
      </c>
      <c r="D280" s="10" t="inlineStr">
        <is>
          <t>Virgin Islands (British) [af]</t>
        </is>
      </c>
      <c r="E280" s="8" t="inlineStr">
        <is>
          <t>The Virgin Islands</t>
        </is>
      </c>
      <c r="F280" s="8" t="inlineStr">
        <is>
          <t>United Kingdom</t>
        </is>
      </c>
      <c r="G280" s="8" t="inlineStr">
        <is>
          <t>VGB</t>
        </is>
      </c>
      <c r="H280" s="8" t="n">
        <v>92</v>
      </c>
      <c r="I280" s="8" t="inlineStr">
        <is>
          <t>ISO 3166-2:VG</t>
        </is>
      </c>
      <c r="J280" s="8" t="inlineStr">
        <is>
          <t>.vg</t>
        </is>
      </c>
    </row>
    <row r="281" ht="27" customHeight="1">
      <c r="C281" s="8" t="inlineStr">
        <is>
          <t>VI</t>
        </is>
      </c>
      <c r="D281" s="10" t="inlineStr">
        <is>
          <t>Virgin Islands (U.S.) [ag]</t>
        </is>
      </c>
      <c r="E281" s="8" t="inlineStr">
        <is>
          <t>The Virgin Islands of the United States</t>
        </is>
      </c>
      <c r="F281" s="8" t="inlineStr">
        <is>
          <t>United States</t>
        </is>
      </c>
      <c r="G281" s="8" t="inlineStr">
        <is>
          <t>VIR</t>
        </is>
      </c>
      <c r="H281" s="8" t="n">
        <v>850</v>
      </c>
      <c r="I281" s="8" t="inlineStr">
        <is>
          <t>ISO 3166-2:VI</t>
        </is>
      </c>
      <c r="J281" s="8" t="inlineStr">
        <is>
          <t>.vi</t>
        </is>
      </c>
    </row>
    <row r="282" ht="12.75" customHeight="1">
      <c r="D282" s="10" t="inlineStr">
        <is>
          <t>Wales – See United Kingdom, The.</t>
        </is>
      </c>
    </row>
    <row r="283">
      <c r="C283" s="8" t="inlineStr">
        <is>
          <t>WF</t>
        </is>
      </c>
      <c r="D283" s="10" t="inlineStr">
        <is>
          <t>Wallis and Futuna</t>
        </is>
      </c>
      <c r="E283" s="8" t="inlineStr">
        <is>
          <t>The Territory of the Wallis and Futuna Islands</t>
        </is>
      </c>
      <c r="F283" s="8" t="inlineStr">
        <is>
          <t>France</t>
        </is>
      </c>
      <c r="G283" s="8" t="inlineStr">
        <is>
          <t>WLF</t>
        </is>
      </c>
      <c r="H283" s="8" t="n">
        <v>876</v>
      </c>
      <c r="I283" s="8" t="inlineStr">
        <is>
          <t>ISO 3166-2:WF</t>
        </is>
      </c>
      <c r="J283" s="8" t="inlineStr">
        <is>
          <t>.wf</t>
        </is>
      </c>
    </row>
    <row r="284" ht="14.25" customHeight="1">
      <c r="C284" s="8" t="inlineStr">
        <is>
          <t>EH</t>
        </is>
      </c>
      <c r="D284" s="10" t="inlineStr">
        <is>
          <t>Western Sahara [ah]</t>
        </is>
      </c>
      <c r="E284" s="8" t="inlineStr">
        <is>
          <t>The Sahrawi Arab Democratic Republic</t>
        </is>
      </c>
      <c r="F284" s="8" t="inlineStr">
        <is>
          <t>disputed [ai]</t>
        </is>
      </c>
      <c r="G284" s="8" t="inlineStr">
        <is>
          <t>ESH</t>
        </is>
      </c>
      <c r="H284" s="8" t="n">
        <v>732</v>
      </c>
      <c r="I284" s="8" t="inlineStr">
        <is>
          <t>ISO 3166-2:EH</t>
        </is>
      </c>
      <c r="J284" s="8" t="inlineStr">
        <is>
          <t>[aj]</t>
        </is>
      </c>
    </row>
    <row r="285">
      <c r="C285" s="8" t="inlineStr">
        <is>
          <t>YE</t>
        </is>
      </c>
      <c r="D285" s="10" t="inlineStr">
        <is>
          <t>Yemen</t>
        </is>
      </c>
      <c r="E285" s="8" t="inlineStr">
        <is>
          <t>The Republic of Yemen</t>
        </is>
      </c>
      <c r="F285" s="9" t="inlineStr">
        <is>
          <t>UN member state</t>
        </is>
      </c>
      <c r="G285" s="8" t="inlineStr">
        <is>
          <t>YEM</t>
        </is>
      </c>
      <c r="H285" s="8" t="n">
        <v>887</v>
      </c>
      <c r="I285" s="8" t="inlineStr">
        <is>
          <t>ISO 3166-2:YE</t>
        </is>
      </c>
      <c r="J285" s="8" t="inlineStr">
        <is>
          <t>.ye</t>
        </is>
      </c>
    </row>
    <row r="286">
      <c r="C286" s="8" t="inlineStr">
        <is>
          <t>ZM</t>
        </is>
      </c>
      <c r="D286" s="10" t="inlineStr">
        <is>
          <t>Zambia</t>
        </is>
      </c>
      <c r="E286" s="8" t="inlineStr">
        <is>
          <t>The Republic of Zambia</t>
        </is>
      </c>
      <c r="F286" s="9" t="inlineStr">
        <is>
          <t>UN member state</t>
        </is>
      </c>
      <c r="G286" s="8" t="inlineStr">
        <is>
          <t>ZMB</t>
        </is>
      </c>
      <c r="H286" s="8" t="n">
        <v>894</v>
      </c>
      <c r="I286" s="8" t="inlineStr">
        <is>
          <t>ISO 3166-2:ZM</t>
        </is>
      </c>
      <c r="J286" s="8" t="inlineStr">
        <is>
          <t>.zm</t>
        </is>
      </c>
    </row>
    <row r="287">
      <c r="C287" s="8" t="inlineStr">
        <is>
          <t>ZW</t>
        </is>
      </c>
      <c r="D287" s="10" t="inlineStr">
        <is>
          <t>Zimbabwe</t>
        </is>
      </c>
      <c r="E287" s="8" t="inlineStr">
        <is>
          <t>The Republic of Zimbabwe</t>
        </is>
      </c>
      <c r="F287" s="9" t="inlineStr">
        <is>
          <t>UN member state</t>
        </is>
      </c>
      <c r="G287" s="8" t="inlineStr">
        <is>
          <t>ZWE</t>
        </is>
      </c>
      <c r="H287" s="8" t="n">
        <v>716</v>
      </c>
      <c r="I287" s="8" t="inlineStr">
        <is>
          <t>ISO 3166-2:ZW</t>
        </is>
      </c>
      <c r="J287" s="8" t="inlineStr">
        <is>
          <t>.zw</t>
        </is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Blad4">
    <outlinePr summaryBelow="1" summaryRight="1"/>
    <pageSetUpPr/>
  </sheetPr>
  <dimension ref="A1:C16"/>
  <sheetViews>
    <sheetView workbookViewId="0">
      <selection activeCell="C3" sqref="C3"/>
    </sheetView>
  </sheetViews>
  <sheetFormatPr baseColWidth="8" defaultRowHeight="12.75"/>
  <cols>
    <col hidden="1" width="9.140625" customWidth="1" min="1" max="1"/>
    <col width="15.28515625" customWidth="1" min="3" max="3"/>
  </cols>
  <sheetData>
    <row r="1" hidden="1">
      <c r="A1" t="inlineStr">
        <is>
          <t>Auto+Verbergen</t>
        </is>
      </c>
    </row>
    <row r="5">
      <c r="B5" t="n">
        <v>1</v>
      </c>
      <c r="C5" t="inlineStr">
        <is>
          <t>January</t>
        </is>
      </c>
    </row>
    <row r="6">
      <c r="B6" t="n">
        <v>2</v>
      </c>
      <c r="C6" t="inlineStr">
        <is>
          <t>February</t>
        </is>
      </c>
    </row>
    <row r="7">
      <c r="B7" t="n">
        <v>3</v>
      </c>
      <c r="C7" t="inlineStr">
        <is>
          <t>March</t>
        </is>
      </c>
    </row>
    <row r="8">
      <c r="B8" t="n">
        <v>4</v>
      </c>
      <c r="C8" t="inlineStr">
        <is>
          <t>April</t>
        </is>
      </c>
    </row>
    <row r="9">
      <c r="B9" t="n">
        <v>5</v>
      </c>
      <c r="C9" t="inlineStr">
        <is>
          <t>May</t>
        </is>
      </c>
    </row>
    <row r="10">
      <c r="B10" t="n">
        <v>6</v>
      </c>
      <c r="C10" t="inlineStr">
        <is>
          <t>June</t>
        </is>
      </c>
    </row>
    <row r="11">
      <c r="B11" t="n">
        <v>7</v>
      </c>
      <c r="C11" t="inlineStr">
        <is>
          <t>July</t>
        </is>
      </c>
    </row>
    <row r="12">
      <c r="B12" t="n">
        <v>8</v>
      </c>
      <c r="C12" t="inlineStr">
        <is>
          <t>August</t>
        </is>
      </c>
    </row>
    <row r="13">
      <c r="B13" t="n">
        <v>9</v>
      </c>
      <c r="C13" t="inlineStr">
        <is>
          <t>September</t>
        </is>
      </c>
    </row>
    <row r="14">
      <c r="B14" t="n">
        <v>10</v>
      </c>
      <c r="C14" t="inlineStr">
        <is>
          <t>October</t>
        </is>
      </c>
    </row>
    <row r="15">
      <c r="B15" t="n">
        <v>11</v>
      </c>
      <c r="C15" t="inlineStr">
        <is>
          <t>November</t>
        </is>
      </c>
    </row>
    <row r="16">
      <c r="B16" t="n">
        <v>12</v>
      </c>
      <c r="C16" t="inlineStr">
        <is>
          <t>December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topLeftCell="B2" workbookViewId="0">
      <selection activeCell="B6" sqref="B2:E6"/>
    </sheetView>
  </sheetViews>
  <sheetFormatPr baseColWidth="8" defaultRowHeight="12.75"/>
  <cols>
    <col hidden="1" width="9.140625" customWidth="1" min="1" max="1"/>
  </cols>
  <sheetData>
    <row r="1" hidden="1">
      <c r="A1" t="inlineStr">
        <is>
          <t>Auto+Verbergen</t>
        </is>
      </c>
    </row>
    <row r="2">
      <c r="B2" s="36" t="inlineStr">
        <is>
          <t>Desert Worlds Company for Trading</t>
        </is>
      </c>
      <c r="C2" s="39" t="n"/>
      <c r="D2" s="39" t="n"/>
      <c r="E2" s="39" t="n"/>
    </row>
    <row r="3">
      <c r="B3" s="36" t="inlineStr">
        <is>
          <t>Delmon Building Office 3-3</t>
        </is>
      </c>
      <c r="C3" s="39" t="n"/>
      <c r="D3" s="39" t="n"/>
      <c r="E3" s="39" t="n"/>
    </row>
    <row r="4">
      <c r="B4" s="36" t="inlineStr">
        <is>
          <t>Prince Sultan Street, PO Box: 1463</t>
        </is>
      </c>
      <c r="C4" s="39" t="n"/>
      <c r="D4" s="39" t="n"/>
      <c r="E4" s="39" t="n"/>
    </row>
    <row r="5">
      <c r="B5" s="6" t="inlineStr">
        <is>
          <t>Al-Khobar 31952</t>
        </is>
      </c>
      <c r="C5" s="6" t="n"/>
      <c r="D5" s="6" t="n"/>
      <c r="E5" s="6" t="n"/>
    </row>
    <row r="6">
      <c r="B6" s="36" t="inlineStr">
        <is>
          <t>Kingdom of Saudi Arabia</t>
        </is>
      </c>
      <c r="C6" s="39" t="n"/>
      <c r="D6" s="39" t="n"/>
      <c r="E6" s="39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Blad5"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Auto+Verbergen+waarden+Formulas=Blad1,Blad2+FormulasOnly</t>
        </is>
      </c>
      <c r="C1" s="32" t="inlineStr">
        <is>
          <t>Titel</t>
        </is>
      </c>
      <c r="D1" s="32" t="inlineStr">
        <is>
          <t>Waarde</t>
        </is>
      </c>
    </row>
    <row r="4">
      <c r="C4" s="32" t="inlineStr">
        <is>
          <t>Datum</t>
        </is>
      </c>
      <c r="D4" s="32" t="inlineStr">
        <is>
          <t>45197</t>
        </is>
      </c>
    </row>
    <row r="6">
      <c r="C6" s="32" t="inlineStr">
        <is>
          <t>Label</t>
        </is>
      </c>
      <c r="D6" s="32" t="inlineStr">
        <is>
          <t>Waarden</t>
        </is>
      </c>
    </row>
    <row r="7">
      <c r="A7" s="32" t="inlineStr">
        <is>
          <t>optie</t>
        </is>
      </c>
      <c r="C7" s="32" t="inlineStr">
        <is>
          <t>No.</t>
        </is>
      </c>
      <c r="D7" s="32" t="inlineStr">
        <is>
          <t>="15943"</t>
        </is>
      </c>
    </row>
    <row r="8">
      <c r="A8" s="32" t="inlineStr">
        <is>
          <t>optie</t>
        </is>
      </c>
      <c r="C8" s="32" t="inlineStr">
        <is>
          <t>Document type</t>
        </is>
      </c>
      <c r="D8" s="32" t="inlineStr">
        <is>
          <t>="Order"</t>
        </is>
      </c>
    </row>
    <row r="9">
      <c r="A9" s="32" t="inlineStr">
        <is>
          <t>optie</t>
        </is>
      </c>
      <c r="C9" s="32" t="inlineStr">
        <is>
          <t>Shipment date</t>
        </is>
      </c>
      <c r="D9" s="32" t="inlineStr">
        <is>
          <t>="13-11-2025"</t>
        </is>
      </c>
    </row>
    <row r="15">
      <c r="C15" s="32" t="inlineStr">
        <is>
          <t>CTS  Netherlands B.V</t>
        </is>
      </c>
    </row>
    <row r="16">
      <c r="C16" s="32" t="inlineStr">
        <is>
          <t>Riga 10</t>
        </is>
      </c>
    </row>
    <row r="17">
      <c r="C17" s="32" t="inlineStr">
        <is>
          <t>2993 LW BARENDRECHT, NL</t>
        </is>
      </c>
    </row>
    <row r="21">
      <c r="C21" s="32" t="inlineStr">
        <is>
          <t>=NL("Eerste","Sales Header","Ship-to Name","Filters=",$C$7:$D$8)</t>
        </is>
      </c>
      <c r="G21" s="32" t="inlineStr">
        <is>
          <t>=NL("Eerste","Shipping Agent","Name","Code",$N$22)</t>
        </is>
      </c>
    </row>
    <row r="22">
      <c r="C22" s="32" t="inlineStr">
        <is>
          <t>=NL("Eerste","Sales Header","Ship-to Name 2","Filters=",$C$7:$D$8)</t>
        </is>
      </c>
      <c r="G22" s="32" t="inlineStr">
        <is>
          <t>=NL("Eerste","Shipping Agent","adres","Code",$N$22)</t>
        </is>
      </c>
      <c r="N22" s="32" t="inlineStr">
        <is>
          <t>=NL("Eerste","Sales Header","Shipping Agent Code","Filters=",$C$7:$D$8)</t>
        </is>
      </c>
    </row>
    <row r="23">
      <c r="C23" s="32" t="inlineStr">
        <is>
          <t>=NL("Eerste","Sales Header","Ship-to address","Filters=",$C$7:$D$8)</t>
        </is>
      </c>
      <c r="G23" s="32" t="inlineStr">
        <is>
          <t>=$N$23&amp;" "&amp;$O$23</t>
        </is>
      </c>
      <c r="N23" s="32" t="inlineStr">
        <is>
          <t>=NL("Eerste","Shipping Agent","postcode","Code",$N$22)</t>
        </is>
      </c>
      <c r="O23" s="32" t="inlineStr">
        <is>
          <t>=NL("Eerste","Shipping Agent","plaats","Code",$N$22)</t>
        </is>
      </c>
    </row>
    <row r="24">
      <c r="C24" s="32" t="inlineStr">
        <is>
          <t>=NL("Eerste","Sales Header","Ship-to address 2","Filters=",$C$7:$D$8)</t>
        </is>
      </c>
      <c r="G24" s="32" t="inlineStr">
        <is>
          <t>="Tel: "&amp;N24</t>
        </is>
      </c>
      <c r="N24" s="32" t="inlineStr">
        <is>
          <t>=NL("Eerste","Shipping Agent","telefoon","Code",$N$22)</t>
        </is>
      </c>
    </row>
    <row r="25">
      <c r="C25" s="32" t="inlineStr">
        <is>
          <t>=$N$25&amp;" "&amp;$O$25</t>
        </is>
      </c>
      <c r="N25" s="32" t="inlineStr">
        <is>
          <t>=NL("Eerste","Sales Header","Ship-to post code","Filters=",$C$7:$D$8)</t>
        </is>
      </c>
      <c r="O25" s="32" t="inlineStr">
        <is>
          <t>=NL("Eerste","Sales Header","Ship-to city","Filters=",$C$7:$D$8)</t>
        </is>
      </c>
    </row>
    <row r="26">
      <c r="C26" s="32" t="inlineStr">
        <is>
          <t>=$O$26</t>
        </is>
      </c>
      <c r="N26" s="32" t="inlineStr">
        <is>
          <t>=NL("Eerste","Sales Header","Ship-to Country/Region Code","Filters=",$C$7:$D$8)</t>
        </is>
      </c>
      <c r="O26" s="32" t="inlineStr">
        <is>
          <t>=VLOOKUP(N26,'Country Codes'!C:D,2,FALSE)</t>
        </is>
      </c>
    </row>
    <row r="28">
      <c r="C28" s="32" t="inlineStr">
        <is>
          <t>=C25</t>
        </is>
      </c>
    </row>
    <row r="31">
      <c r="N31" s="32" t="inlineStr">
        <is>
          <t>Verzenddatum:</t>
        </is>
      </c>
      <c r="O31" s="32" t="inlineStr">
        <is>
          <t>=D9</t>
        </is>
      </c>
    </row>
    <row r="32">
      <c r="C32" s="32" t="inlineStr">
        <is>
          <t>="Barendrecht, NL  "&amp;N34&amp;" "&amp;O33&amp;" "&amp;P34</t>
        </is>
      </c>
      <c r="G32" s="32" t="inlineStr">
        <is>
          <t xml:space="preserve">Delivery terms: </t>
        </is>
      </c>
      <c r="H32" s="32" t="inlineStr">
        <is>
          <t>=N35</t>
        </is>
      </c>
    </row>
    <row r="33">
      <c r="H33" s="32" t="inlineStr">
        <is>
          <t>=O35</t>
        </is>
      </c>
      <c r="O33" s="32" t="inlineStr">
        <is>
          <t>=VLOOKUP(O34,Months!B:C,2,FALSE)</t>
        </is>
      </c>
    </row>
    <row r="34">
      <c r="G34" s="32" t="inlineStr">
        <is>
          <t xml:space="preserve">Project No.:  </t>
        </is>
      </c>
      <c r="H34" s="32" t="inlineStr">
        <is>
          <t>="CTS-"&amp;$N$37</t>
        </is>
      </c>
      <c r="N34" s="32" t="inlineStr">
        <is>
          <t>=DAY(O31)</t>
        </is>
      </c>
      <c r="O34" s="32" t="inlineStr">
        <is>
          <t>=MONTH(O31)</t>
        </is>
      </c>
      <c r="P34" s="32" t="inlineStr">
        <is>
          <t>=YEAR(O31)</t>
        </is>
      </c>
    </row>
    <row r="35">
      <c r="N35" s="32" t="inlineStr">
        <is>
          <t>=NL("Eerste","Sales Header","Shipment Method Code","Filters=",$C$7:$D$8)</t>
        </is>
      </c>
      <c r="O35" s="32" t="inlineStr">
        <is>
          <t>=NL("Eerste","Sales Header","Delivery to","Filters=",$C$7:$D$8)</t>
        </is>
      </c>
    </row>
    <row r="36">
      <c r="C36" s="32" t="inlineStr">
        <is>
          <t>="Packing list No.: "&amp;D7</t>
        </is>
      </c>
      <c r="G36" s="32" t="inlineStr">
        <is>
          <t>Customer ref:</t>
        </is>
      </c>
      <c r="H36" s="32" t="inlineStr">
        <is>
          <t>=NL("Eerste","Sales Header","Your Reference","Filters=",$C$7:$D$8)</t>
        </is>
      </c>
    </row>
    <row r="37">
      <c r="N37" s="32" t="inlineStr">
        <is>
          <t>=NL("Eerste","Sales Header","project","Filters=",$C$7:$D$8)</t>
        </is>
      </c>
    </row>
    <row r="40">
      <c r="C40" s="32" t="inlineStr">
        <is>
          <t>Colli</t>
        </is>
      </c>
      <c r="I40" s="32" t="inlineStr">
        <is>
          <t>KG</t>
        </is>
      </c>
    </row>
    <row r="41">
      <c r="C41" s="32" t="inlineStr">
        <is>
          <t xml:space="preserve">Dimensions as per attached packaging overview </t>
        </is>
      </c>
    </row>
    <row r="43">
      <c r="C43" s="32" t="inlineStr">
        <is>
          <t>Description</t>
        </is>
      </c>
      <c r="G43" s="32" t="inlineStr">
        <is>
          <t>L x W x H (cm)</t>
        </is>
      </c>
      <c r="I43" s="32" t="inlineStr">
        <is>
          <t>Gross weight (kg)</t>
        </is>
      </c>
    </row>
    <row r="44">
      <c r="C44" s="32" t="inlineStr">
        <is>
          <t>=NF(B44,"Packing Description")</t>
        </is>
      </c>
      <c r="I44" s="32" t="inlineStr">
        <is>
          <t>=NF(B44,"Gross Weight (kg)")</t>
        </is>
      </c>
    </row>
    <row r="59">
      <c r="C59" s="32" t="inlineStr">
        <is>
          <t>Previous to deliver, please contact:</t>
        </is>
      </c>
    </row>
    <row r="61">
      <c r="C61" s="32" t="inlineStr">
        <is>
          <t>=NL("Eerste","Sales Header","Ship-to contact","Filters=",$C$7:$D$8)</t>
        </is>
      </c>
    </row>
    <row r="62">
      <c r="C62" s="32" t="inlineStr">
        <is>
          <t>="Tel.:  "&amp;$N$67</t>
        </is>
      </c>
    </row>
    <row r="67">
      <c r="N67" s="32" t="inlineStr">
        <is>
          <t>=NL("Eerste","Sales Header","Ship Contact telephone","Filters=",$C$7:$D$8)</t>
        </is>
      </c>
    </row>
    <row r="72">
      <c r="C72" s="32" t="inlineStr">
        <is>
          <t>=C32</t>
        </is>
      </c>
    </row>
    <row r="74">
      <c r="C74" s="32" t="inlineStr">
        <is>
          <t>CTS Netherlands B.V.</t>
        </is>
      </c>
    </row>
    <row r="75">
      <c r="C75" s="32" t="inlineStr">
        <is>
          <t>Riga 10</t>
        </is>
      </c>
    </row>
    <row r="76">
      <c r="C76" s="32" t="inlineStr">
        <is>
          <t>2993 LW BARENDRECHT, NL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Blad6"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Auto+Verbergen+waarden+Formulas=Blad1,Blad2+FormulasOnly</t>
        </is>
      </c>
      <c r="C1" s="32" t="inlineStr">
        <is>
          <t>Titel</t>
        </is>
      </c>
      <c r="D1" s="32" t="inlineStr">
        <is>
          <t>Waarde</t>
        </is>
      </c>
    </row>
    <row r="4">
      <c r="C4" s="32" t="inlineStr">
        <is>
          <t>Datum</t>
        </is>
      </c>
      <c r="D4" s="32" t="inlineStr">
        <is>
          <t>45197</t>
        </is>
      </c>
    </row>
    <row r="6">
      <c r="C6" s="32" t="inlineStr">
        <is>
          <t>Label</t>
        </is>
      </c>
      <c r="D6" s="32" t="inlineStr">
        <is>
          <t>Waarden</t>
        </is>
      </c>
    </row>
    <row r="7">
      <c r="A7" s="32" t="inlineStr">
        <is>
          <t>optie</t>
        </is>
      </c>
      <c r="C7" s="32" t="inlineStr">
        <is>
          <t>No.</t>
        </is>
      </c>
      <c r="D7" s="32" t="inlineStr">
        <is>
          <t>="15943"</t>
        </is>
      </c>
    </row>
    <row r="8">
      <c r="A8" s="32" t="inlineStr">
        <is>
          <t>optie</t>
        </is>
      </c>
      <c r="C8" s="32" t="inlineStr">
        <is>
          <t>Document type</t>
        </is>
      </c>
      <c r="D8" s="32" t="inlineStr">
        <is>
          <t>="Order"</t>
        </is>
      </c>
    </row>
    <row r="9">
      <c r="A9" s="32" t="inlineStr">
        <is>
          <t>optie</t>
        </is>
      </c>
      <c r="C9" s="32" t="inlineStr">
        <is>
          <t>Shipment date</t>
        </is>
      </c>
      <c r="D9" s="32" t="inlineStr">
        <is>
          <t>="13-11-2025"</t>
        </is>
      </c>
    </row>
    <row r="15">
      <c r="C15" s="32" t="inlineStr">
        <is>
          <t>CTS  Netherlands B.V</t>
        </is>
      </c>
    </row>
    <row r="16">
      <c r="C16" s="32" t="inlineStr">
        <is>
          <t>Riga 10</t>
        </is>
      </c>
    </row>
    <row r="17">
      <c r="C17" s="32" t="inlineStr">
        <is>
          <t>2993 LW BARENDRECHT, NL</t>
        </is>
      </c>
    </row>
    <row r="21">
      <c r="C21" s="32" t="inlineStr">
        <is>
          <t>=NL("Eerste";"Sales Header";"Ship-to Name";"Filters=";$C$7:$D$8)</t>
        </is>
      </c>
      <c r="G21" s="32" t="inlineStr">
        <is>
          <t>=NL("Eerste";"Shipping Agent";"Name";"Code";$N$22)</t>
        </is>
      </c>
    </row>
    <row r="22">
      <c r="C22" s="32" t="inlineStr">
        <is>
          <t>=NL("Eerste";"Sales Header";"Ship-to Name 2";"Filters=";$C$7:$D$8)</t>
        </is>
      </c>
      <c r="G22" s="32" t="inlineStr">
        <is>
          <t>=NL("Eerste";"Shipping Agent";"adres";"Code";$N$22)</t>
        </is>
      </c>
      <c r="N22" s="32" t="inlineStr">
        <is>
          <t>=NL("Eerste";"Sales Header";"Shipping Agent Code";"Filters=";$C$7:$D$8)</t>
        </is>
      </c>
    </row>
    <row r="23">
      <c r="C23" s="32" t="inlineStr">
        <is>
          <t>=NL("Eerste";"Sales Header";"Ship-to address";"Filters=";$C$7:$D$8)</t>
        </is>
      </c>
      <c r="G23" s="32" t="inlineStr">
        <is>
          <t>=$N$23&amp;" "&amp;$O$23</t>
        </is>
      </c>
      <c r="N23" s="32" t="inlineStr">
        <is>
          <t>=NL("Eerste";"Shipping Agent";"postcode";"Code";$N$22)</t>
        </is>
      </c>
      <c r="O23" s="32" t="inlineStr">
        <is>
          <t>=NL("Eerste";"Shipping Agent";"plaats";"Code";$N$22)</t>
        </is>
      </c>
    </row>
    <row r="24">
      <c r="C24" s="32" t="inlineStr">
        <is>
          <t>=NL("Eerste";"Sales Header";"Ship-to address 2";"Filters=";$C$7:$D$8)</t>
        </is>
      </c>
      <c r="G24" s="32" t="inlineStr">
        <is>
          <t>="Tel: "&amp;N24</t>
        </is>
      </c>
      <c r="N24" s="32" t="inlineStr">
        <is>
          <t>=NL("Eerste";"Shipping Agent";"telefoon";"Code";$N$22)</t>
        </is>
      </c>
    </row>
    <row r="25">
      <c r="C25" s="32" t="inlineStr">
        <is>
          <t>=$N$25&amp;" "&amp;$O$25</t>
        </is>
      </c>
      <c r="N25" s="32" t="inlineStr">
        <is>
          <t>=NL("Eerste";"Sales Header";"Ship-to post code";"Filters=";$C$7:$D$8)</t>
        </is>
      </c>
      <c r="O25" s="32" t="inlineStr">
        <is>
          <t>=NL("Eerste";"Sales Header";"Ship-to city";"Filters=";$C$7:$D$8)</t>
        </is>
      </c>
    </row>
    <row r="26">
      <c r="C26" s="32" t="inlineStr">
        <is>
          <t>=$O$26</t>
        </is>
      </c>
      <c r="N26" s="32" t="inlineStr">
        <is>
          <t>=NL("Eerste";"Sales Header";"Ship-to Country/Region Code";"Filters=";$C$7:$D$8)</t>
        </is>
      </c>
      <c r="O26" s="32" t="inlineStr">
        <is>
          <t>=VERT.ZOEKEN(N26;'Country Codes'!C:D;2;ONWAAR)</t>
        </is>
      </c>
    </row>
    <row r="28">
      <c r="C28" s="32" t="inlineStr">
        <is>
          <t>=C25</t>
        </is>
      </c>
    </row>
    <row r="31">
      <c r="N31" s="32" t="inlineStr">
        <is>
          <t>Verzenddatum:</t>
        </is>
      </c>
      <c r="O31" s="32" t="inlineStr">
        <is>
          <t>=D9</t>
        </is>
      </c>
    </row>
    <row r="32">
      <c r="C32" s="32" t="inlineStr">
        <is>
          <t>="Barendrecht, NL  "&amp;N34&amp;" "&amp;O33&amp;" "&amp;P34</t>
        </is>
      </c>
      <c r="G32" s="32" t="inlineStr">
        <is>
          <t xml:space="preserve">Delivery terms: </t>
        </is>
      </c>
      <c r="H32" s="32" t="inlineStr">
        <is>
          <t>=N35</t>
        </is>
      </c>
    </row>
    <row r="33">
      <c r="H33" s="32" t="inlineStr">
        <is>
          <t>=O35</t>
        </is>
      </c>
      <c r="O33" s="32" t="inlineStr">
        <is>
          <t>=VERT.ZOEKEN(O34;Months!B:C;2;ONWAAR)</t>
        </is>
      </c>
    </row>
    <row r="34">
      <c r="G34" s="32" t="inlineStr">
        <is>
          <t xml:space="preserve">Project No.:  </t>
        </is>
      </c>
      <c r="H34" s="32" t="inlineStr">
        <is>
          <t>="CTS-"&amp;$N$37</t>
        </is>
      </c>
      <c r="N34" s="32" t="inlineStr">
        <is>
          <t>=DAG(O31)</t>
        </is>
      </c>
      <c r="O34" s="32" t="inlineStr">
        <is>
          <t>=MAAND(O31)</t>
        </is>
      </c>
      <c r="P34" s="32" t="inlineStr">
        <is>
          <t>=JAAR(O31)</t>
        </is>
      </c>
    </row>
    <row r="35">
      <c r="N35" s="32" t="inlineStr">
        <is>
          <t>=NL("Eerste";"Sales Header";"Shipment Method Code";"Filters=";$C$7:$D$8)</t>
        </is>
      </c>
      <c r="O35" s="32" t="inlineStr">
        <is>
          <t>=NL("Eerste";"Sales Header";"Delivery to";"Filters=";$C$7:$D$8)</t>
        </is>
      </c>
    </row>
    <row r="36">
      <c r="C36" s="32" t="inlineStr">
        <is>
          <t>="Packing list No.: "&amp;D7</t>
        </is>
      </c>
      <c r="G36" s="32" t="inlineStr">
        <is>
          <t>Customer ref:</t>
        </is>
      </c>
      <c r="H36" s="32" t="inlineStr">
        <is>
          <t>=NL("Eerste";"Sales Header";"Your Reference";"Filters=";$C$7:$D$8)</t>
        </is>
      </c>
    </row>
    <row r="37">
      <c r="N37" s="32" t="inlineStr">
        <is>
          <t>=NL("Eerste";"Sales Header";"project";"Filters=";$C$7:$D$8)</t>
        </is>
      </c>
    </row>
    <row r="40">
      <c r="C40" s="32" t="inlineStr">
        <is>
          <t>Colli</t>
        </is>
      </c>
      <c r="I40" s="32" t="inlineStr">
        <is>
          <t>KG</t>
        </is>
      </c>
    </row>
    <row r="41">
      <c r="C41" s="32" t="inlineStr">
        <is>
          <t xml:space="preserve">Dimensions as per attached packaging overview </t>
        </is>
      </c>
    </row>
    <row r="43">
      <c r="C43" s="32" t="inlineStr">
        <is>
          <t>Description</t>
        </is>
      </c>
      <c r="G43" s="32" t="inlineStr">
        <is>
          <t>L x W x H (cm)</t>
        </is>
      </c>
      <c r="I43" s="32" t="inlineStr">
        <is>
          <t>Gross weight (kg)</t>
        </is>
      </c>
    </row>
    <row r="44">
      <c r="C44" s="32" t="inlineStr">
        <is>
          <t>=NF(B44;"Packing Description")</t>
        </is>
      </c>
      <c r="I44" s="32" t="inlineStr">
        <is>
          <t>=NF(B44;"Gross Weight (kg)")</t>
        </is>
      </c>
    </row>
    <row r="59">
      <c r="C59" s="32" t="inlineStr">
        <is>
          <t>Previous to deliver, please contact:</t>
        </is>
      </c>
    </row>
    <row r="61">
      <c r="C61" s="32" t="inlineStr">
        <is>
          <t>=NL("Eerste";"Sales Header";"Ship-to contact";"Filters=";$C$7:$D$8)</t>
        </is>
      </c>
    </row>
    <row r="62">
      <c r="C62" s="32" t="inlineStr">
        <is>
          <t>="Tel.:  "&amp;$N$67</t>
        </is>
      </c>
    </row>
    <row r="67">
      <c r="N67" s="32" t="inlineStr">
        <is>
          <t>=NL("Eerste";"Sales Header";"Ship Contact telephone";"Filters=";$C$7:$D$8)</t>
        </is>
      </c>
    </row>
    <row r="72">
      <c r="C72" s="32" t="inlineStr">
        <is>
          <t>=C32</t>
        </is>
      </c>
    </row>
    <row r="74">
      <c r="C74" s="32" t="inlineStr">
        <is>
          <t>CTS Netherlands B.V.</t>
        </is>
      </c>
    </row>
    <row r="75">
      <c r="C75" s="32" t="inlineStr">
        <is>
          <t>Riga 10</t>
        </is>
      </c>
    </row>
    <row r="76">
      <c r="C76" s="32" t="inlineStr">
        <is>
          <t>2993 LW BARENDRECHT, NL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Blad7"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Auto+Verbergen+waarden+Formulas=Blad3,Blad4+FormulasOnly</t>
        </is>
      </c>
      <c r="B1" s="32" t="inlineStr">
        <is>
          <t>verbergen</t>
        </is>
      </c>
    </row>
    <row r="3">
      <c r="C3" s="32" t="inlineStr">
        <is>
          <t>Colli</t>
        </is>
      </c>
    </row>
    <row r="4">
      <c r="C4" s="32" t="inlineStr">
        <is>
          <t>COPY COLLI BELOW TO CMR FORM</t>
        </is>
      </c>
    </row>
    <row r="5">
      <c r="C5" s="32" t="inlineStr">
        <is>
          <t>Description</t>
        </is>
      </c>
      <c r="G5" s="32" t="inlineStr">
        <is>
          <t>L x W x H (cm)</t>
        </is>
      </c>
      <c r="I5" s="32" t="inlineStr">
        <is>
          <t>Gross weight (kg)</t>
        </is>
      </c>
      <c r="K5" s="32" t="inlineStr">
        <is>
          <t>Length</t>
        </is>
      </c>
      <c r="L5" s="32" t="inlineStr">
        <is>
          <t>Width</t>
        </is>
      </c>
      <c r="M5" s="32" t="inlineStr">
        <is>
          <t>Height</t>
        </is>
      </c>
    </row>
    <row r="6">
      <c r="B6" s="32" t="inlineStr">
        <is>
          <t>=NL("Rijen","packing",,"Document No.",CMR!$D$7)</t>
        </is>
      </c>
      <c r="C6" s="32" t="inlineStr">
        <is>
          <t>=NF(B6,"Packing Description")</t>
        </is>
      </c>
      <c r="G6" s="32" t="inlineStr">
        <is>
          <t>=NF(B6,"Length")&amp;" x "&amp;NF(B6,"Width")&amp;" x "&amp;NF(B6,"Height")</t>
        </is>
      </c>
      <c r="I6" s="32" t="inlineStr">
        <is>
          <t>=NF(B6,"Gross Weight (kg)")</t>
        </is>
      </c>
      <c r="K6" s="32" t="inlineStr">
        <is>
          <t>=NF(B6,"Length")</t>
        </is>
      </c>
      <c r="L6" s="32" t="inlineStr">
        <is>
          <t>=NF(B6,"Width")</t>
        </is>
      </c>
      <c r="M6" s="32" t="inlineStr">
        <is>
          <t>=NF(B6,"Height")</t>
        </is>
      </c>
    </row>
    <row r="12">
      <c r="C12" s="32" t="inlineStr">
        <is>
          <t>Hoofdartikelen</t>
        </is>
      </c>
    </row>
    <row r="13">
      <c r="C13" s="32" t="inlineStr">
        <is>
          <t>Regelnummer</t>
        </is>
      </c>
      <c r="D13" s="32" t="inlineStr">
        <is>
          <t>Artikelnummer</t>
        </is>
      </c>
      <c r="E13" s="32" t="inlineStr">
        <is>
          <t>Omschrijving</t>
        </is>
      </c>
      <c r="F13" s="32" t="inlineStr">
        <is>
          <t>Omschrijving 2</t>
        </is>
      </c>
      <c r="G13" s="32" t="inlineStr">
        <is>
          <t>HS Code</t>
        </is>
      </c>
    </row>
    <row r="14">
      <c r="B14" s="32" t="inlineStr">
        <is>
          <t>=NL("Rijen","Sales Line",,"Document No.",CMR!$D$7,"Type","Item")</t>
        </is>
      </c>
      <c r="C14" s="32" t="inlineStr">
        <is>
          <t>=NF(B14,"Extern LineNo.")</t>
        </is>
      </c>
      <c r="D14" s="32" t="inlineStr">
        <is>
          <t>=NF(B14,"No.")</t>
        </is>
      </c>
      <c r="E14" s="32" t="inlineStr">
        <is>
          <t>=NF(B14,"Description")</t>
        </is>
      </c>
      <c r="F14" s="32" t="inlineStr">
        <is>
          <t>=NF(B14,"Description 2")</t>
        </is>
      </c>
      <c r="G14" s="32" t="inlineStr">
        <is>
          <t>=NL("Eerste","Item","Tariff No.","No.",D14)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Blad8"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Auto+Verbergen+waarden+Formulas=Blad3,Blad4+FormulasOnly</t>
        </is>
      </c>
      <c r="B1" s="32" t="inlineStr">
        <is>
          <t>verbergen</t>
        </is>
      </c>
    </row>
    <row r="3">
      <c r="C3" s="32" t="inlineStr">
        <is>
          <t>Colli</t>
        </is>
      </c>
    </row>
    <row r="4">
      <c r="C4" s="32" t="inlineStr">
        <is>
          <t>COPY COLLI BELOW TO CMR FORM</t>
        </is>
      </c>
    </row>
    <row r="5">
      <c r="C5" s="32" t="inlineStr">
        <is>
          <t>Description</t>
        </is>
      </c>
      <c r="G5" s="32" t="inlineStr">
        <is>
          <t>L x W x H (cm)</t>
        </is>
      </c>
      <c r="I5" s="32" t="inlineStr">
        <is>
          <t>Gross weight (kg)</t>
        </is>
      </c>
      <c r="K5" s="32" t="inlineStr">
        <is>
          <t>Length</t>
        </is>
      </c>
      <c r="L5" s="32" t="inlineStr">
        <is>
          <t>Width</t>
        </is>
      </c>
      <c r="M5" s="32" t="inlineStr">
        <is>
          <t>Height</t>
        </is>
      </c>
    </row>
    <row r="6">
      <c r="B6" s="32" t="inlineStr">
        <is>
          <t>=NL("Rijen";"packing";;"Document No.";CMR!$D$7)</t>
        </is>
      </c>
      <c r="C6" s="32" t="inlineStr">
        <is>
          <t>=NF(B6;"Packing Description")</t>
        </is>
      </c>
      <c r="G6" s="32" t="inlineStr">
        <is>
          <t>=NF(B6;"Length")&amp;" x "&amp;NF(B6;"Width")&amp;" x "&amp;NF(B6;"Height")</t>
        </is>
      </c>
      <c r="I6" s="32" t="inlineStr">
        <is>
          <t>=NF(B6;"Gross Weight (kg)")</t>
        </is>
      </c>
      <c r="K6" s="32" t="inlineStr">
        <is>
          <t>=NF(B6;"Length")</t>
        </is>
      </c>
      <c r="L6" s="32" t="inlineStr">
        <is>
          <t>=NF(B6;"Width")</t>
        </is>
      </c>
      <c r="M6" s="32" t="inlineStr">
        <is>
          <t>=NF(B6;"Height")</t>
        </is>
      </c>
    </row>
    <row r="12">
      <c r="C12" s="32" t="inlineStr">
        <is>
          <t>Hoofdartikelen</t>
        </is>
      </c>
    </row>
    <row r="13">
      <c r="C13" s="32" t="inlineStr">
        <is>
          <t>Regelnummer</t>
        </is>
      </c>
      <c r="D13" s="32" t="inlineStr">
        <is>
          <t>Artikelnummer</t>
        </is>
      </c>
      <c r="E13" s="32" t="inlineStr">
        <is>
          <t>Omschrijving</t>
        </is>
      </c>
      <c r="F13" s="32" t="inlineStr">
        <is>
          <t>Omschrijving 2</t>
        </is>
      </c>
      <c r="G13" s="32" t="inlineStr">
        <is>
          <t>HS Code</t>
        </is>
      </c>
    </row>
    <row r="14">
      <c r="B14" s="32" t="inlineStr">
        <is>
          <t>=NL("Rijen";"Sales Line";;"Document No.";CMR!$D$7;"Type";"Item")</t>
        </is>
      </c>
      <c r="C14" s="32" t="inlineStr">
        <is>
          <t>=NF(B14;"Extern LineNo.")</t>
        </is>
      </c>
      <c r="D14" s="32" t="inlineStr">
        <is>
          <t>=NF(B14;"No.")</t>
        </is>
      </c>
      <c r="E14" s="32" t="inlineStr">
        <is>
          <t>=NF(B14;"Description")</t>
        </is>
      </c>
      <c r="F14" s="32" t="inlineStr">
        <is>
          <t>=NF(B14;"Description 2")</t>
        </is>
      </c>
      <c r="G14" s="32" t="inlineStr">
        <is>
          <t>=NL("Eerste";"Item";"Tariff No.";"No.";D14)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G202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Auto+Verbergen+waarden+Formulas=Blad5,Blad1,Blad2+FormulasOnly</t>
        </is>
      </c>
      <c r="C1" s="32" t="inlineStr">
        <is>
          <t>Titel</t>
        </is>
      </c>
      <c r="D1" s="32" t="inlineStr">
        <is>
          <t>Waarde</t>
        </is>
      </c>
    </row>
    <row r="4">
      <c r="C4" s="32" t="inlineStr">
        <is>
          <t>Datum</t>
        </is>
      </c>
      <c r="D4" s="32" t="inlineStr">
        <is>
          <t>45197</t>
        </is>
      </c>
    </row>
    <row r="6">
      <c r="C6" s="32" t="inlineStr">
        <is>
          <t>Label</t>
        </is>
      </c>
      <c r="D6" s="32" t="inlineStr">
        <is>
          <t>Waarden</t>
        </is>
      </c>
    </row>
    <row r="7">
      <c r="A7" s="32" t="inlineStr">
        <is>
          <t>optie</t>
        </is>
      </c>
      <c r="C7" s="32" t="inlineStr">
        <is>
          <t>No.</t>
        </is>
      </c>
      <c r="D7" s="32" t="inlineStr">
        <is>
          <t>="15943"</t>
        </is>
      </c>
    </row>
    <row r="8">
      <c r="A8" s="32" t="inlineStr">
        <is>
          <t>optie</t>
        </is>
      </c>
      <c r="C8" s="32" t="inlineStr">
        <is>
          <t>Document type</t>
        </is>
      </c>
      <c r="D8" s="32" t="inlineStr">
        <is>
          <t>="Order"</t>
        </is>
      </c>
    </row>
    <row r="9">
      <c r="A9" s="32" t="inlineStr">
        <is>
          <t>optie</t>
        </is>
      </c>
      <c r="C9" s="32" t="inlineStr">
        <is>
          <t>Shipment date</t>
        </is>
      </c>
      <c r="D9" s="32" t="inlineStr">
        <is>
          <t>="13-11-2025"</t>
        </is>
      </c>
    </row>
    <row r="15">
      <c r="C15" s="32" t="inlineStr">
        <is>
          <t>CTS  Netherlands B.V</t>
        </is>
      </c>
    </row>
    <row r="16">
      <c r="C16" s="32" t="inlineStr">
        <is>
          <t>Riga 10</t>
        </is>
      </c>
    </row>
    <row r="17">
      <c r="C17" s="32" t="inlineStr">
        <is>
          <t>2993 LW BARENDRECHT, NL</t>
        </is>
      </c>
    </row>
    <row r="21">
      <c r="C21" s="32" t="inlineStr">
        <is>
          <t>=NL("Eerste","Sales Header","Ship-to Name","Filters=",$C$7:$D$8)</t>
        </is>
      </c>
      <c r="G21" s="32" t="inlineStr">
        <is>
          <t>=NL("Eerste","Shipping Agent","Name","Code",$N$22)</t>
        </is>
      </c>
    </row>
    <row r="22">
      <c r="C22" s="32" t="inlineStr">
        <is>
          <t>=NL("Eerste","Sales Header","Ship-to Name 2","Filters=",$C$7:$D$8)</t>
        </is>
      </c>
      <c r="G22" s="32" t="inlineStr">
        <is>
          <t>=NL("Eerste","Shipping Agent","adres","Code",$N$22)</t>
        </is>
      </c>
      <c r="N22" s="32" t="inlineStr">
        <is>
          <t>=NL("Eerste","Sales Header","Shipping Agent Code","Filters=",$C$7:$D$8)</t>
        </is>
      </c>
    </row>
    <row r="23">
      <c r="C23" s="32" t="inlineStr">
        <is>
          <t>=NL("Eerste","Sales Header","Ship-to address","Filters=",$C$7:$D$8)</t>
        </is>
      </c>
      <c r="G23" s="32" t="inlineStr">
        <is>
          <t>=$N$23&amp;" "&amp;$O$23</t>
        </is>
      </c>
      <c r="N23" s="32" t="inlineStr">
        <is>
          <t>=NL("Eerste","Shipping Agent","postcode","Code",$N$22)</t>
        </is>
      </c>
      <c r="O23" s="32" t="inlineStr">
        <is>
          <t>=NL("Eerste","Shipping Agent","plaats","Code",$N$22)</t>
        </is>
      </c>
    </row>
    <row r="24">
      <c r="C24" s="32" t="inlineStr">
        <is>
          <t>=NL("Eerste","Sales Header","Ship-to address 2","Filters=",$C$7:$D$8)</t>
        </is>
      </c>
      <c r="G24" s="32" t="inlineStr">
        <is>
          <t>="Tel: "&amp;N24</t>
        </is>
      </c>
      <c r="N24" s="32" t="inlineStr">
        <is>
          <t>=NL("Eerste","Shipping Agent","telefoon","Code",$N$22)</t>
        </is>
      </c>
    </row>
    <row r="25">
      <c r="C25" s="32" t="inlineStr">
        <is>
          <t>=$N$25&amp;" "&amp;$O$25</t>
        </is>
      </c>
      <c r="N25" s="32" t="inlineStr">
        <is>
          <t>=NL("Eerste","Sales Header","Ship-to post code","Filters=",$C$7:$D$8)</t>
        </is>
      </c>
      <c r="O25" s="32" t="inlineStr">
        <is>
          <t>=NL("Eerste","Sales Header","Ship-to city","Filters=",$C$7:$D$8)</t>
        </is>
      </c>
    </row>
    <row r="26">
      <c r="C26" s="32" t="inlineStr">
        <is>
          <t>=$O$26</t>
        </is>
      </c>
      <c r="N26" s="32" t="inlineStr">
        <is>
          <t>=NL("Eerste","Sales Header","Ship-to Country/Region Code","Filters=",$C$7:$D$8)</t>
        </is>
      </c>
      <c r="O26" s="32" t="inlineStr">
        <is>
          <t>=VLOOKUP(N26,'Country Codes'!C:D,2,FALSE)</t>
        </is>
      </c>
    </row>
    <row r="28">
      <c r="C28" s="32" t="inlineStr">
        <is>
          <t>=C25</t>
        </is>
      </c>
    </row>
    <row r="31">
      <c r="N31" s="32" t="inlineStr">
        <is>
          <t>Verzenddatum:</t>
        </is>
      </c>
      <c r="O31" s="32" t="inlineStr">
        <is>
          <t>=D9</t>
        </is>
      </c>
    </row>
    <row r="32">
      <c r="C32" s="32" t="inlineStr">
        <is>
          <t>="Barendrecht, NL  "&amp;N34&amp;" "&amp;O33&amp;" "&amp;P34</t>
        </is>
      </c>
      <c r="G32" s="32" t="inlineStr">
        <is>
          <t xml:space="preserve">Delivery terms: </t>
        </is>
      </c>
      <c r="H32" s="32" t="inlineStr">
        <is>
          <t>=N35</t>
        </is>
      </c>
    </row>
    <row r="33">
      <c r="H33" s="32" t="inlineStr">
        <is>
          <t>=O35</t>
        </is>
      </c>
      <c r="O33" s="32" t="inlineStr">
        <is>
          <t>=VLOOKUP(O34,Months!B:C,2,FALSE)</t>
        </is>
      </c>
    </row>
    <row r="34">
      <c r="G34" s="32" t="inlineStr">
        <is>
          <t xml:space="preserve">Project No.:  </t>
        </is>
      </c>
      <c r="H34" s="32" t="inlineStr">
        <is>
          <t>="CTS-"&amp;$N$37</t>
        </is>
      </c>
      <c r="N34" s="32" t="inlineStr">
        <is>
          <t>=DAY(O31)</t>
        </is>
      </c>
      <c r="O34" s="32" t="inlineStr">
        <is>
          <t>=MONTH(O31)</t>
        </is>
      </c>
      <c r="P34" s="32" t="inlineStr">
        <is>
          <t>=YEAR(O31)</t>
        </is>
      </c>
    </row>
    <row r="35">
      <c r="N35" s="32" t="inlineStr">
        <is>
          <t>=NL("Eerste","Sales Header","Shipment Method Code","Filters=",$C$7:$D$8)</t>
        </is>
      </c>
      <c r="O35" s="32" t="inlineStr">
        <is>
          <t>=NL("Eerste","Sales Header","Delivery to","Filters=",$C$7:$D$8)</t>
        </is>
      </c>
    </row>
    <row r="36">
      <c r="C36" s="32" t="inlineStr">
        <is>
          <t>="Packing list No.: "&amp;D7</t>
        </is>
      </c>
      <c r="G36" s="32" t="inlineStr">
        <is>
          <t>Customer ref:</t>
        </is>
      </c>
      <c r="H36" s="32" t="inlineStr">
        <is>
          <t>=NL("Eerste","Sales Header","Your Reference","Filters=",$C$7:$D$8)</t>
        </is>
      </c>
    </row>
    <row r="37">
      <c r="N37" s="32" t="inlineStr">
        <is>
          <t>=NL("Eerste","Sales Header","project","Filters=",$C$7:$D$8)</t>
        </is>
      </c>
    </row>
    <row r="40">
      <c r="C40" s="32" t="inlineStr">
        <is>
          <t>Colli</t>
        </is>
      </c>
      <c r="I40" s="32" t="inlineStr">
        <is>
          <t>KG</t>
        </is>
      </c>
    </row>
    <row r="41">
      <c r="C41" s="32" t="inlineStr">
        <is>
          <t xml:space="preserve">Dimensions as per attached packaging overview </t>
        </is>
      </c>
    </row>
    <row r="43">
      <c r="C43" s="32" t="inlineStr">
        <is>
          <t>Description</t>
        </is>
      </c>
      <c r="G43" s="32" t="inlineStr">
        <is>
          <t>L x W x H (cm)</t>
        </is>
      </c>
      <c r="I43" s="32" t="inlineStr">
        <is>
          <t>Gross weight (kg)</t>
        </is>
      </c>
    </row>
    <row r="44">
      <c r="C44" s="32" t="inlineStr">
        <is>
          <t>=NF(B44,"Packing Description")</t>
        </is>
      </c>
      <c r="I44" s="32" t="inlineStr">
        <is>
          <t>=NF(B44,"Gross Weight (kg)")</t>
        </is>
      </c>
    </row>
    <row r="59">
      <c r="C59" s="32" t="inlineStr">
        <is>
          <t>Previous to deliver, please contact:</t>
        </is>
      </c>
    </row>
    <row r="61">
      <c r="C61" s="32" t="inlineStr">
        <is>
          <t>=NL("Eerste","Sales Header","Ship-to contact","Filters=",$C$7:$D$8)</t>
        </is>
      </c>
    </row>
    <row r="62">
      <c r="C62" s="32" t="inlineStr">
        <is>
          <t>="Tel.:  "&amp;$N$67</t>
        </is>
      </c>
    </row>
    <row r="67">
      <c r="N67" s="32" t="inlineStr">
        <is>
          <t>=NL("Eerste","Sales Header","Ship Contact telephone","Filters=",$C$7:$D$8)</t>
        </is>
      </c>
    </row>
    <row r="72">
      <c r="C72" s="32" t="inlineStr">
        <is>
          <t>=C32</t>
        </is>
      </c>
    </row>
    <row r="74">
      <c r="C74" s="32" t="inlineStr">
        <is>
          <t>CTS Netherlands B.V.</t>
        </is>
      </c>
    </row>
    <row r="75">
      <c r="C75" s="32" t="inlineStr">
        <is>
          <t>Riga 10</t>
        </is>
      </c>
    </row>
    <row r="76">
      <c r="C76" s="32" t="inlineStr">
        <is>
          <t>2993 LW BARENDRECHT, NL</t>
        </is>
      </c>
    </row>
    <row r="93">
      <c r="AB93" s="32" t="inlineStr">
        <is>
          <t>15248</t>
        </is>
      </c>
    </row>
    <row r="107">
      <c r="AP107" s="32" t="inlineStr">
        <is>
          <t>15356</t>
        </is>
      </c>
    </row>
    <row r="108">
      <c r="AQ108" s="32" t="inlineStr">
        <is>
          <t>15356</t>
        </is>
      </c>
    </row>
    <row r="109">
      <c r="AR109" s="32" t="inlineStr">
        <is>
          <t>15356</t>
        </is>
      </c>
    </row>
    <row r="110">
      <c r="AS110" s="32" t="inlineStr">
        <is>
          <t>15254</t>
        </is>
      </c>
    </row>
    <row r="115">
      <c r="AX115" s="32" t="inlineStr">
        <is>
          <t>15359</t>
        </is>
      </c>
    </row>
    <row r="131">
      <c r="BN131" s="32" t="inlineStr">
        <is>
          <t>15217</t>
        </is>
      </c>
    </row>
    <row r="133">
      <c r="BP133" s="32" t="inlineStr">
        <is>
          <t>15381</t>
        </is>
      </c>
    </row>
    <row r="137">
      <c r="BT137" s="32" t="inlineStr">
        <is>
          <t>15272</t>
        </is>
      </c>
    </row>
    <row r="138">
      <c r="BU138" s="32" t="inlineStr">
        <is>
          <t>15408</t>
        </is>
      </c>
    </row>
    <row r="145">
      <c r="CB145" s="32" t="inlineStr">
        <is>
          <t>15443</t>
        </is>
      </c>
    </row>
    <row r="149">
      <c r="CF149" s="32" t="inlineStr">
        <is>
          <t>15439</t>
        </is>
      </c>
    </row>
    <row r="156">
      <c r="CM156" s="32" t="inlineStr">
        <is>
          <t>15453</t>
        </is>
      </c>
    </row>
    <row r="164">
      <c r="CU164" s="32" t="inlineStr">
        <is>
          <t>15506</t>
        </is>
      </c>
    </row>
    <row r="165">
      <c r="CV165" s="32" t="inlineStr">
        <is>
          <t>15506</t>
        </is>
      </c>
    </row>
    <row r="168">
      <c r="CY168" s="32" t="inlineStr">
        <is>
          <t>15706</t>
        </is>
      </c>
    </row>
    <row r="172">
      <c r="DC172" s="32" t="inlineStr">
        <is>
          <t>15710</t>
        </is>
      </c>
    </row>
    <row r="175">
      <c r="DF175" s="32" t="inlineStr">
        <is>
          <t>15762</t>
        </is>
      </c>
    </row>
    <row r="176">
      <c r="DG176" s="32" t="inlineStr">
        <is>
          <t>15841</t>
        </is>
      </c>
    </row>
    <row r="177">
      <c r="DH177" s="32" t="inlineStr">
        <is>
          <t>15670</t>
        </is>
      </c>
    </row>
    <row r="178">
      <c r="DI178" s="32" t="inlineStr">
        <is>
          <t>15738</t>
        </is>
      </c>
    </row>
    <row r="180">
      <c r="DK180" s="32" t="inlineStr">
        <is>
          <t>15670</t>
        </is>
      </c>
    </row>
    <row r="183">
      <c r="DN183" s="32" t="inlineStr">
        <is>
          <t>15919</t>
        </is>
      </c>
    </row>
    <row r="186">
      <c r="DQ186" s="32" t="inlineStr">
        <is>
          <t>15860</t>
        </is>
      </c>
    </row>
    <row r="187">
      <c r="DR187" s="32" t="inlineStr">
        <is>
          <t>15860</t>
        </is>
      </c>
    </row>
    <row r="188">
      <c r="DS188" s="32" t="inlineStr">
        <is>
          <t>15860</t>
        </is>
      </c>
    </row>
    <row r="190">
      <c r="DU190" s="32" t="inlineStr">
        <is>
          <t>15858</t>
        </is>
      </c>
    </row>
    <row r="191">
      <c r="DV191" s="32" t="inlineStr">
        <is>
          <t>15982</t>
        </is>
      </c>
    </row>
    <row r="193">
      <c r="DX193" s="32" t="inlineStr">
        <is>
          <t>15945</t>
        </is>
      </c>
    </row>
    <row r="195">
      <c r="DZ195" s="32" t="inlineStr">
        <is>
          <t>16013</t>
        </is>
      </c>
    </row>
    <row r="197">
      <c r="EB197" s="32" t="inlineStr">
        <is>
          <t>15974</t>
        </is>
      </c>
    </row>
    <row r="198">
      <c r="EC198" s="32" t="inlineStr">
        <is>
          <t>15974</t>
        </is>
      </c>
    </row>
    <row r="200">
      <c r="EE200" s="32" t="inlineStr">
        <is>
          <t>15859</t>
        </is>
      </c>
    </row>
    <row r="202">
      <c r="EG202" s="32" t="inlineStr">
        <is>
          <t>15943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Auto+Verbergen+waarden+Formulas=Blad6,Blad3,Blad4+FormulasOnly</t>
        </is>
      </c>
      <c r="B1" s="32" t="inlineStr">
        <is>
          <t>verbergen</t>
        </is>
      </c>
    </row>
    <row r="3">
      <c r="C3" s="32" t="inlineStr">
        <is>
          <t>Colli</t>
        </is>
      </c>
    </row>
    <row r="4">
      <c r="C4" s="32" t="inlineStr">
        <is>
          <t>COPY COLLI BELOW TO CMR FORM</t>
        </is>
      </c>
    </row>
    <row r="5">
      <c r="C5" s="32" t="inlineStr">
        <is>
          <t>Description</t>
        </is>
      </c>
      <c r="G5" s="32" t="inlineStr">
        <is>
          <t>L x W x H (cm)</t>
        </is>
      </c>
      <c r="I5" s="32" t="inlineStr">
        <is>
          <t>Gross weight (kg)</t>
        </is>
      </c>
      <c r="K5" s="32" t="inlineStr">
        <is>
          <t>Length</t>
        </is>
      </c>
      <c r="L5" s="32" t="inlineStr">
        <is>
          <t>Width</t>
        </is>
      </c>
      <c r="M5" s="32" t="inlineStr">
        <is>
          <t>Height</t>
        </is>
      </c>
    </row>
    <row r="6">
      <c r="B6" s="32" t="inlineStr">
        <is>
          <t>=NL("Rijen","packing",,"Document No.",CMR!$D$7)</t>
        </is>
      </c>
      <c r="C6" s="32" t="inlineStr">
        <is>
          <t>=NF(B6,"Packing Description")</t>
        </is>
      </c>
      <c r="G6" s="32" t="inlineStr">
        <is>
          <t>=NF(B6,"Length")&amp;" x "&amp;NF(B6,"Width")&amp;" x "&amp;NF(B6,"Height")</t>
        </is>
      </c>
      <c r="I6" s="32" t="inlineStr">
        <is>
          <t>=NF(B6,"Gross Weight (kg)")</t>
        </is>
      </c>
      <c r="K6" s="32" t="inlineStr">
        <is>
          <t>=NF(B6,"Length")</t>
        </is>
      </c>
      <c r="L6" s="32" t="inlineStr">
        <is>
          <t>=NF(B6,"Width")</t>
        </is>
      </c>
      <c r="M6" s="32" t="inlineStr">
        <is>
          <t>=NF(B6,"Height")</t>
        </is>
      </c>
    </row>
    <row r="7">
      <c r="A7" s="32" t="inlineStr">
        <is>
          <t>Auto</t>
        </is>
      </c>
      <c r="B7" s="32" t="inlineStr">
        <is>
          <t>="""CTS NL"",""CTS Netherlands B.V."",""50016"",""1"",""Order"",""2"",""15943"",""3"",""2"""</t>
        </is>
      </c>
      <c r="C7" s="32" t="inlineStr">
        <is>
          <t>=NF(B7,"Packing Description")</t>
        </is>
      </c>
      <c r="G7" s="32" t="inlineStr">
        <is>
          <t>=NF(B7,"Length")&amp;" x "&amp;NF(B7,"Width")&amp;" x "&amp;NF(B7,"Height")</t>
        </is>
      </c>
      <c r="I7" s="32" t="inlineStr">
        <is>
          <t>=NF(B7,"Gross Weight (kg)")</t>
        </is>
      </c>
      <c r="K7" s="32" t="inlineStr">
        <is>
          <t>=NF(B7,"Length")</t>
        </is>
      </c>
      <c r="L7" s="32" t="inlineStr">
        <is>
          <t>=NF(B7,"Width")</t>
        </is>
      </c>
      <c r="M7" s="32" t="inlineStr">
        <is>
          <t>=NF(B7,"Height")</t>
        </is>
      </c>
    </row>
    <row r="8">
      <c r="A8" s="32" t="inlineStr">
        <is>
          <t>Auto</t>
        </is>
      </c>
      <c r="B8" s="32" t="inlineStr">
        <is>
          <t>="""CTS NL"",""CTS Netherlands B.V."",""50016"",""1"",""Order"",""2"",""15943"",""3"",""3"""</t>
        </is>
      </c>
      <c r="C8" s="32" t="inlineStr">
        <is>
          <t>=NF(B8,"Packing Description")</t>
        </is>
      </c>
      <c r="G8" s="32" t="inlineStr">
        <is>
          <t>=NF(B8,"Length")&amp;" x "&amp;NF(B8,"Width")&amp;" x "&amp;NF(B8,"Height")</t>
        </is>
      </c>
      <c r="I8" s="32" t="inlineStr">
        <is>
          <t>=NF(B8,"Gross Weight (kg)")</t>
        </is>
      </c>
      <c r="K8" s="32" t="inlineStr">
        <is>
          <t>=NF(B8,"Length")</t>
        </is>
      </c>
      <c r="L8" s="32" t="inlineStr">
        <is>
          <t>=NF(B8,"Width")</t>
        </is>
      </c>
      <c r="M8" s="32" t="inlineStr">
        <is>
          <t>=NF(B8,"Height")</t>
        </is>
      </c>
    </row>
    <row r="9">
      <c r="A9" s="32" t="inlineStr">
        <is>
          <t>Auto</t>
        </is>
      </c>
      <c r="B9" s="32" t="inlineStr">
        <is>
          <t>="""CTS NL"",""CTS Netherlands B.V."",""50016"",""1"",""Order"",""2"",""15943"",""3"",""4"""</t>
        </is>
      </c>
      <c r="C9" s="32" t="inlineStr">
        <is>
          <t>=NF(B9,"Packing Description")</t>
        </is>
      </c>
      <c r="G9" s="32" t="inlineStr">
        <is>
          <t>=NF(B9,"Length")&amp;" x "&amp;NF(B9,"Width")&amp;" x "&amp;NF(B9,"Height")</t>
        </is>
      </c>
      <c r="I9" s="32" t="inlineStr">
        <is>
          <t>=NF(B9,"Gross Weight (kg)")</t>
        </is>
      </c>
      <c r="K9" s="32" t="inlineStr">
        <is>
          <t>=NF(B9,"Length")</t>
        </is>
      </c>
      <c r="L9" s="32" t="inlineStr">
        <is>
          <t>=NF(B9,"Width")</t>
        </is>
      </c>
      <c r="M9" s="32" t="inlineStr">
        <is>
          <t>=NF(B9,"Height")</t>
        </is>
      </c>
    </row>
    <row r="15">
      <c r="C15" s="32" t="inlineStr">
        <is>
          <t>Hoofdartikelen</t>
        </is>
      </c>
    </row>
    <row r="16">
      <c r="C16" s="32" t="inlineStr">
        <is>
          <t>Regelnummer</t>
        </is>
      </c>
      <c r="D16" s="32" t="inlineStr">
        <is>
          <t>Artikelnummer</t>
        </is>
      </c>
      <c r="E16" s="32" t="inlineStr">
        <is>
          <t>Omschrijving</t>
        </is>
      </c>
      <c r="F16" s="32" t="inlineStr">
        <is>
          <t>Omschrijving 2</t>
        </is>
      </c>
      <c r="G16" s="32" t="inlineStr">
        <is>
          <t>HS Code</t>
        </is>
      </c>
    </row>
    <row r="17">
      <c r="B17" s="32" t="inlineStr">
        <is>
          <t>=NL("Rijen","Sales Line",,"Document No.",CMR!$D$7,"Type","Item")</t>
        </is>
      </c>
      <c r="C17" s="32" t="inlineStr">
        <is>
          <t>=NF(B17,"Extern LineNo.")</t>
        </is>
      </c>
      <c r="D17" s="32" t="inlineStr">
        <is>
          <t>=NF(B17,"No.")</t>
        </is>
      </c>
      <c r="E17" s="32" t="inlineStr">
        <is>
          <t>=NF(B17,"Description")</t>
        </is>
      </c>
      <c r="F17" s="32" t="inlineStr">
        <is>
          <t>=NF(B17,"Description 2")</t>
        </is>
      </c>
      <c r="G17" s="32" t="inlineStr">
        <is>
          <t>=NL("Eerste","Item","Tariff No.","No.",D17)</t>
        </is>
      </c>
    </row>
    <row r="18">
      <c r="A18" s="32" t="inlineStr">
        <is>
          <t>Auto</t>
        </is>
      </c>
      <c r="B18" s="32" t="inlineStr">
        <is>
          <t>="""CTS NL"",""CTS Netherlands B.V."",""37"",""1"",""Order"",""3"",""15943"",""4"",""100000"""</t>
        </is>
      </c>
      <c r="C18" s="32" t="inlineStr">
        <is>
          <t>=NF(B18,"Extern LineNo.")</t>
        </is>
      </c>
      <c r="D18" s="32" t="inlineStr">
        <is>
          <t>=NF(B18,"No.")</t>
        </is>
      </c>
      <c r="E18" s="32" t="inlineStr">
        <is>
          <t>=NF(B18,"Description")</t>
        </is>
      </c>
      <c r="F18" s="32" t="inlineStr">
        <is>
          <t>=NF(B18,"Description 2")</t>
        </is>
      </c>
      <c r="G18" s="32" t="inlineStr">
        <is>
          <t>=NL("Eerste","Item","Tariff No.","No.",D18)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</dc:creator>
  <dcterms:created xmlns:dcterms="http://purl.org/dc/terms/" xmlns:xsi="http://www.w3.org/2001/XMLSchema-instance" xsi:type="dcterms:W3CDTF">2009-12-28T08:19:52Z</dcterms:created>
  <dcterms:modified xmlns:dcterms="http://purl.org/dc/terms/" xmlns:xsi="http://www.w3.org/2001/XMLSchema-instance" xsi:type="dcterms:W3CDTF">2025-11-13T10:48:00Z</dcterms:modified>
  <cp:lastModifiedBy>Tim Pelt</cp:lastModifiedBy>
  <cp:lastPrinted>2025-11-13T10:23:32Z</cp:lastPrinted>
</cp:coreProperties>
</file>

<file path=docProps/custom.xml><?xml version="1.0" encoding="utf-8"?>
<Properties xmlns="http://schemas.openxmlformats.org/officeDocument/2006/custom-properties">
  <property name="Jet Reports Design Mode Active" fmtid="{D5CDD505-2E9C-101B-9397-08002B2CF9AE}" pid="2">
    <vt:bool xmlns:vt="http://schemas.openxmlformats.org/officeDocument/2006/docPropsVTypes">0</vt:bool>
  </property>
  <property name="Jet Reports Function Literals" fmtid="{D5CDD505-2E9C-101B-9397-08002B2CF9AE}" pid="3">
    <vt:lpwstr xmlns:vt="http://schemas.openxmlformats.org/officeDocument/2006/docPropsVTypes">\	;	;	{	}	[@[{0}]]	1043	1043</vt:lpwstr>
  </property>
  <property name="ContentTypeId" fmtid="{D5CDD505-2E9C-101B-9397-08002B2CF9AE}" pid="4">
    <vt:lpwstr xmlns:vt="http://schemas.openxmlformats.org/officeDocument/2006/docPropsVTypes">0x0101007FEFA056DBEB6246ADD69F05C601C0C6</vt:lpwstr>
  </property>
  <property name="Order" fmtid="{D5CDD505-2E9C-101B-9397-08002B2CF9AE}" pid="5">
    <vt:r8 xmlns:vt="http://schemas.openxmlformats.org/officeDocument/2006/docPropsVTypes">247200</vt:r8>
  </property>
  <property name="MediaServiceImageTags" fmtid="{D5CDD505-2E9C-101B-9397-08002B2CF9AE}" pid="6">
    <vt:lpwstr xmlns:vt="http://schemas.openxmlformats.org/officeDocument/2006/docPropsVTypes"/>
  </property>
</Properties>
</file>